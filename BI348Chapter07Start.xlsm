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00VideoExcelStorage\348\Content\Chapter07\Downloads\"/>
    </mc:Choice>
  </mc:AlternateContent>
  <bookViews>
    <workbookView xWindow="0" yWindow="0" windowWidth="28770" windowHeight="12360" tabRatio="776"/>
  </bookViews>
  <sheets>
    <sheet name="Topics" sheetId="1" r:id="rId1"/>
    <sheet name="Spreadsheet Models" sheetId="2" r:id="rId2"/>
    <sheet name="FC VC Analysis" sheetId="6" r:id="rId3"/>
    <sheet name="Calcualte Revenue" sheetId="4" r:id="rId4"/>
    <sheet name="Shipping Costs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4" l="1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7" i="4"/>
</calcChain>
</file>

<file path=xl/sharedStrings.xml><?xml version="1.0" encoding="utf-8"?>
<sst xmlns="http://schemas.openxmlformats.org/spreadsheetml/2006/main" count="259" uniqueCount="218">
  <si>
    <t>Good Spreadsheet Model Building:</t>
  </si>
  <si>
    <t>6) Use appropriate Number &amp; Stylistic Formatting to make the spreadsheet easy to understand.</t>
  </si>
  <si>
    <t>Remember: Number Formatting is a Facade.</t>
  </si>
  <si>
    <t>7) Keep default alignments to visually portray the data type (Numbers to the right, Text to the left)</t>
  </si>
  <si>
    <t>8) Name all sheets and files smartly.</t>
  </si>
  <si>
    <t>9) Sometimes it is helpful to create math formulas or a influence diagram to describe your model.</t>
  </si>
  <si>
    <t>Goal Seek</t>
  </si>
  <si>
    <t>Data Tables</t>
  </si>
  <si>
    <t>Chart</t>
  </si>
  <si>
    <t>Model 01: FC/VC Example</t>
  </si>
  <si>
    <t>Model 03: Calculate Total Shipping Costs</t>
  </si>
  <si>
    <t>Build Formula Input Area and Model area separately</t>
  </si>
  <si>
    <t>Model 02: Calculate Total Revenue from Transactional Data and Lookup Tables</t>
  </si>
  <si>
    <t>refer to it in the formula with a cell reference.</t>
  </si>
  <si>
    <t>2) Label all formula inputs.</t>
  </si>
  <si>
    <t>3) Separate the formula input area from the model area.</t>
  </si>
  <si>
    <t>4) Model is where you create your formulas and where you can put your decision variable.</t>
  </si>
  <si>
    <t>5) Label all elements in the model area.</t>
  </si>
  <si>
    <t>1) Excel’s Golden Rule: If formula input (parameter, assumption, variable) can change put it in a cell and</t>
  </si>
  <si>
    <t>Date</t>
  </si>
  <si>
    <t>and up</t>
  </si>
  <si>
    <t>SUM, VLOOKUP, COUNTIFS, SUMPRODUCT and LOOKUP functions.</t>
  </si>
  <si>
    <t>Price per Roll (100 feet)</t>
  </si>
  <si>
    <t>Seattle, Washington</t>
  </si>
  <si>
    <t>Milwaukee, Wisconsin</t>
  </si>
  <si>
    <t>Birmingham, Alabama</t>
  </si>
  <si>
    <t>Oakland, California</t>
  </si>
  <si>
    <t>City</t>
  </si>
  <si>
    <t>State</t>
  </si>
  <si>
    <t>Zip Code</t>
  </si>
  <si>
    <t>98108</t>
  </si>
  <si>
    <t>53203</t>
  </si>
  <si>
    <t>35203</t>
  </si>
  <si>
    <t>94612</t>
  </si>
  <si>
    <t>Chandler</t>
  </si>
  <si>
    <t>Arizona</t>
  </si>
  <si>
    <t>85225</t>
  </si>
  <si>
    <t>Glendale</t>
  </si>
  <si>
    <t>85302</t>
  </si>
  <si>
    <t>Mesa</t>
  </si>
  <si>
    <t>85201</t>
  </si>
  <si>
    <t>Scottsdale</t>
  </si>
  <si>
    <t>85251</t>
  </si>
  <si>
    <t>Little Rock</t>
  </si>
  <si>
    <t>Arkansas</t>
  </si>
  <si>
    <t>72202</t>
  </si>
  <si>
    <t>Antioch</t>
  </si>
  <si>
    <t>California</t>
  </si>
  <si>
    <t>94509</t>
  </si>
  <si>
    <t>Berkeley</t>
  </si>
  <si>
    <t>94704</t>
  </si>
  <si>
    <t>Chula Vista</t>
  </si>
  <si>
    <t>91910</t>
  </si>
  <si>
    <t>Concord</t>
  </si>
  <si>
    <t>94520</t>
  </si>
  <si>
    <t>Daly City</t>
  </si>
  <si>
    <t>94015</t>
  </si>
  <si>
    <t>Fairfield</t>
  </si>
  <si>
    <t>94533</t>
  </si>
  <si>
    <t>Hayward</t>
  </si>
  <si>
    <t>94544</t>
  </si>
  <si>
    <t>Huntington Beach</t>
  </si>
  <si>
    <t>92647</t>
  </si>
  <si>
    <t>Long Beach</t>
  </si>
  <si>
    <t>90802</t>
  </si>
  <si>
    <t>Modesto</t>
  </si>
  <si>
    <t>95350</t>
  </si>
  <si>
    <t>Santa Clara</t>
  </si>
  <si>
    <t>95050</t>
  </si>
  <si>
    <t>Sunnyvale</t>
  </si>
  <si>
    <t>94086</t>
  </si>
  <si>
    <t>Thousand Oaks</t>
  </si>
  <si>
    <t>91362</t>
  </si>
  <si>
    <t>Vallejo</t>
  </si>
  <si>
    <t>94590</t>
  </si>
  <si>
    <t>Aurora</t>
  </si>
  <si>
    <t>Colorado</t>
  </si>
  <si>
    <t>80017</t>
  </si>
  <si>
    <t>Colorado Springs</t>
  </si>
  <si>
    <t>80903</t>
  </si>
  <si>
    <t>Denver</t>
  </si>
  <si>
    <t>80202</t>
  </si>
  <si>
    <t>Chicago</t>
  </si>
  <si>
    <t>Illinois</t>
  </si>
  <si>
    <t>60607</t>
  </si>
  <si>
    <t>Joliet</t>
  </si>
  <si>
    <t>60436</t>
  </si>
  <si>
    <t>Evansville</t>
  </si>
  <si>
    <t>Indiana</t>
  </si>
  <si>
    <t>47708</t>
  </si>
  <si>
    <t>Fort Wayne</t>
  </si>
  <si>
    <t>46802</t>
  </si>
  <si>
    <t>Cedar Rapids</t>
  </si>
  <si>
    <t>Iowa</t>
  </si>
  <si>
    <t>52401</t>
  </si>
  <si>
    <t>Kansas City</t>
  </si>
  <si>
    <t>Kansas</t>
  </si>
  <si>
    <t>66106</t>
  </si>
  <si>
    <t>Topeka</t>
  </si>
  <si>
    <t>66603</t>
  </si>
  <si>
    <t>Lexington-Fayette</t>
  </si>
  <si>
    <t>Kentucky</t>
  </si>
  <si>
    <t>40511</t>
  </si>
  <si>
    <t>Louisville-Jefferson County5</t>
  </si>
  <si>
    <t>40231</t>
  </si>
  <si>
    <t>New Orleans</t>
  </si>
  <si>
    <t>Louisiana</t>
  </si>
  <si>
    <t>70113</t>
  </si>
  <si>
    <t>Baltimore</t>
  </si>
  <si>
    <t>Maryland</t>
  </si>
  <si>
    <t>21202</t>
  </si>
  <si>
    <t>Ann Arbor</t>
  </si>
  <si>
    <t>Michigan</t>
  </si>
  <si>
    <t>48104</t>
  </si>
  <si>
    <t>Detroit</t>
  </si>
  <si>
    <t>48233</t>
  </si>
  <si>
    <t>St. Paul</t>
  </si>
  <si>
    <t>Minnesota</t>
  </si>
  <si>
    <t>55109</t>
  </si>
  <si>
    <t>Missouri</t>
  </si>
  <si>
    <t>64108</t>
  </si>
  <si>
    <t>St. Louis</t>
  </si>
  <si>
    <t>63155</t>
  </si>
  <si>
    <t>Omaha</t>
  </si>
  <si>
    <t>Nebraska</t>
  </si>
  <si>
    <t>68108</t>
  </si>
  <si>
    <t>Henderson</t>
  </si>
  <si>
    <t>Nevada</t>
  </si>
  <si>
    <t>89015</t>
  </si>
  <si>
    <t>Reno</t>
  </si>
  <si>
    <t>89510</t>
  </si>
  <si>
    <t>Manchester</t>
  </si>
  <si>
    <t>New Hampshire</t>
  </si>
  <si>
    <t>03103</t>
  </si>
  <si>
    <t>Elizabeth</t>
  </si>
  <si>
    <t>New Jersey</t>
  </si>
  <si>
    <t>07208</t>
  </si>
  <si>
    <t>Jersey City</t>
  </si>
  <si>
    <t>07302</t>
  </si>
  <si>
    <t>Newark</t>
  </si>
  <si>
    <t>07102</t>
  </si>
  <si>
    <t>New York</t>
  </si>
  <si>
    <t>10199</t>
  </si>
  <si>
    <t>Yonkers</t>
  </si>
  <si>
    <t>10701</t>
  </si>
  <si>
    <t>Cary</t>
  </si>
  <si>
    <t>North Carolina</t>
  </si>
  <si>
    <t>27511</t>
  </si>
  <si>
    <t>Durham</t>
  </si>
  <si>
    <t>27701</t>
  </si>
  <si>
    <t>Cincinnati</t>
  </si>
  <si>
    <t>Ohio</t>
  </si>
  <si>
    <t>45225</t>
  </si>
  <si>
    <t>Cleveland</t>
  </si>
  <si>
    <t>44101</t>
  </si>
  <si>
    <t>Norman</t>
  </si>
  <si>
    <t>Oklahoma</t>
  </si>
  <si>
    <t>73019</t>
  </si>
  <si>
    <t>Tulsa</t>
  </si>
  <si>
    <t>74107</t>
  </si>
  <si>
    <t>Eugene</t>
  </si>
  <si>
    <t>Oregon</t>
  </si>
  <si>
    <t>97401</t>
  </si>
  <si>
    <t>Portland</t>
  </si>
  <si>
    <t>97208</t>
  </si>
  <si>
    <t>Philadelphia</t>
  </si>
  <si>
    <t>Pennsylvania</t>
  </si>
  <si>
    <t>19104</t>
  </si>
  <si>
    <t>Pittsburgh</t>
  </si>
  <si>
    <t>15290</t>
  </si>
  <si>
    <t>Providence</t>
  </si>
  <si>
    <t>Rhode Island</t>
  </si>
  <si>
    <t>02904</t>
  </si>
  <si>
    <t>Columbia</t>
  </si>
  <si>
    <t>South Carolina</t>
  </si>
  <si>
    <t>29201</t>
  </si>
  <si>
    <t>Sioux Falls</t>
  </si>
  <si>
    <t>South Dakota</t>
  </si>
  <si>
    <t>57104</t>
  </si>
  <si>
    <t>Clarksville</t>
  </si>
  <si>
    <t>Tennessee</t>
  </si>
  <si>
    <t>37043</t>
  </si>
  <si>
    <t>Killeen</t>
  </si>
  <si>
    <t>Texas</t>
  </si>
  <si>
    <t>76541</t>
  </si>
  <si>
    <t>Laredo</t>
  </si>
  <si>
    <t>78041</t>
  </si>
  <si>
    <t>Mesquite</t>
  </si>
  <si>
    <t>75149</t>
  </si>
  <si>
    <t>Alexandria</t>
  </si>
  <si>
    <t>Virginia</t>
  </si>
  <si>
    <t>22314</t>
  </si>
  <si>
    <t>Hampton</t>
  </si>
  <si>
    <t>23607</t>
  </si>
  <si>
    <t>Seattle</t>
  </si>
  <si>
    <t>Washington</t>
  </si>
  <si>
    <t>Spokane</t>
  </si>
  <si>
    <t>99201</t>
  </si>
  <si>
    <t>Green Bay</t>
  </si>
  <si>
    <t>Wisconsin</t>
  </si>
  <si>
    <t>54303</t>
  </si>
  <si>
    <t>Madison</t>
  </si>
  <si>
    <t>53714</t>
  </si>
  <si>
    <t>Number of Rolls</t>
  </si>
  <si>
    <t>Units From</t>
  </si>
  <si>
    <t>Units To</t>
  </si>
  <si>
    <t>Pricing Table:</t>
  </si>
  <si>
    <t>Customer List of Destination Zip Codes for current transactions:</t>
  </si>
  <si>
    <t>A company that sells rolls of fence needs to calculate total revenue from a list of customer transactions and a pricing table.</t>
  </si>
  <si>
    <t>Data set with number of rolls of fence sold for each transaction:</t>
  </si>
  <si>
    <t>Given the transactional data table with the number of rolls of fence sold for each transaction and the pricing table,</t>
  </si>
  <si>
    <t>calculate total revenue and count the number of transactions that fell into each pricing category.</t>
  </si>
  <si>
    <t>Shipping Center Source Zip Code with Miles from Shipping Center to Destination:</t>
  </si>
  <si>
    <t>For each customer, determine which Shipping Center has the shortest distance and then calculate the total shipping charge for each customer transaction.</t>
  </si>
  <si>
    <t>Good Spreadsheet Model Design</t>
  </si>
  <si>
    <t>LOOKUP to get Price:</t>
  </si>
  <si>
    <t>A Compressor Sales Company has four shipping centers. It delevers the compressors to customers by truck. The per mile shipping charge is $3.11 with a minimum charge of $75.</t>
  </si>
  <si>
    <t>MIN, INDEX, MATCH, IF functions.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</si>
</sst>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5" fillId="0" borderId="0" xfId="1" applyFont="1"/>
    <xf numFmtId="0" fontId="7" fillId="0" borderId="0" xfId="1" applyFont="1"/>
    <xf numFmtId="0" fontId="5" fillId="0" borderId="1" xfId="1" applyFont="1" applyBorder="1"/>
    <xf numFmtId="0" fontId="6" fillId="2" borderId="1" xfId="1" applyFont="1" applyFill="1" applyBorder="1"/>
    <xf numFmtId="0" fontId="5" fillId="0" borderId="1" xfId="1" applyNumberFormat="1" applyFont="1" applyBorder="1"/>
    <xf numFmtId="0" fontId="6" fillId="2" borderId="1" xfId="1" applyFont="1" applyFill="1" applyBorder="1" applyAlignment="1">
      <alignment wrapText="1"/>
    </xf>
    <xf numFmtId="0" fontId="1" fillId="0" borderId="0" xfId="0" applyFont="1"/>
    <xf numFmtId="14" fontId="5" fillId="0" borderId="1" xfId="1" applyNumberFormat="1" applyFont="1" applyBorder="1"/>
    <xf numFmtId="0" fontId="5" fillId="0" borderId="0" xfId="1" applyNumberFormat="1" applyFont="1"/>
    <xf numFmtId="164" fontId="5" fillId="0" borderId="1" xfId="1" applyNumberFormat="1" applyFont="1" applyBorder="1"/>
    <xf numFmtId="0" fontId="8" fillId="0" borderId="0" xfId="0" applyFont="1"/>
    <xf numFmtId="0" fontId="3" fillId="2" borderId="1" xfId="0" applyFont="1" applyFill="1" applyBorder="1" applyAlignment="1">
      <alignment wrapText="1"/>
    </xf>
    <xf numFmtId="0" fontId="2" fillId="0" borderId="1" xfId="0" applyFont="1" applyBorder="1"/>
    <xf numFmtId="0" fontId="2" fillId="0" borderId="1" xfId="0" quotePrefix="1" applyNumberFormat="1" applyFont="1" applyBorder="1"/>
    <xf numFmtId="0" fontId="0" fillId="0" borderId="1" xfId="0" applyBorder="1"/>
    <xf numFmtId="0" fontId="0" fillId="0" borderId="1" xfId="0" applyNumberFormat="1" applyBorder="1"/>
    <xf numFmtId="0" fontId="5" fillId="3" borderId="4" xfId="1" applyFont="1" applyFill="1" applyBorder="1"/>
    <xf numFmtId="0" fontId="5" fillId="3" borderId="5" xfId="1" applyFont="1" applyFill="1" applyBorder="1"/>
    <xf numFmtId="0" fontId="0" fillId="3" borderId="5" xfId="0" applyFill="1" applyBorder="1"/>
    <xf numFmtId="0" fontId="5" fillId="3" borderId="2" xfId="1" applyFont="1" applyFill="1" applyBorder="1"/>
    <xf numFmtId="0" fontId="5" fillId="3" borderId="6" xfId="1" applyFont="1" applyFill="1" applyBorder="1"/>
    <xf numFmtId="0" fontId="5" fillId="3" borderId="0" xfId="1" applyFont="1" applyFill="1" applyBorder="1"/>
    <xf numFmtId="0" fontId="0" fillId="3" borderId="0" xfId="0" applyFill="1" applyBorder="1"/>
    <xf numFmtId="0" fontId="5" fillId="3" borderId="3" xfId="1" applyFont="1" applyFill="1" applyBorder="1"/>
    <xf numFmtId="0" fontId="5" fillId="3" borderId="7" xfId="1" applyFont="1" applyFill="1" applyBorder="1"/>
    <xf numFmtId="0" fontId="5" fillId="3" borderId="8" xfId="1" applyFont="1" applyFill="1" applyBorder="1"/>
    <xf numFmtId="0" fontId="0" fillId="3" borderId="8" xfId="0" applyFill="1" applyBorder="1"/>
    <xf numFmtId="0" fontId="5" fillId="3" borderId="9" xfId="1" applyFont="1" applyFill="1" applyBorder="1"/>
    <xf numFmtId="0" fontId="0" fillId="3" borderId="4" xfId="0" applyFill="1" applyBorder="1"/>
    <xf numFmtId="0" fontId="0" fillId="3" borderId="2" xfId="0" applyFill="1" applyBorder="1"/>
    <xf numFmtId="0" fontId="0" fillId="3" borderId="7" xfId="0" quotePrefix="1" applyFill="1" applyBorder="1"/>
    <xf numFmtId="0" fontId="0" fillId="3" borderId="9" xfId="0" applyFill="1" applyBorder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colors>
    <mruColors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49695</xdr:colOff>
      <xdr:row>0</xdr:row>
      <xdr:rowOff>57978</xdr:rowOff>
    </xdr:from>
    <xdr:to>
      <xdr:col>4</xdr:col>
      <xdr:colOff>173934</xdr:colOff>
      <xdr:row>10</xdr:row>
      <xdr:rowOff>76970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" y="57978"/>
          <a:ext cx="2575891" cy="1923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14</xdr:col>
          <xdr:colOff>466725</xdr:colOff>
          <xdr:row>27</xdr:row>
          <xdr:rowOff>123825</xdr:rowOff>
        </xdr:to>
        <xdr:sp macro="" textlink="">
          <xdr:nvSpPr>
            <xdr:cNvPr id="6154" name="Object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 w="9525" cap="flat" cmpd="sng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10"/>
  <sheetViews>
    <sheetView tabSelected="1" zoomScale="205" zoomScaleNormal="205" workbookViewId="0">
      <selection activeCell="E1" sqref="E1"/>
    </sheetView>
  </sheetViews>
  <sheetFormatPr defaultRowHeight="15" x14ac:dyDescent="0.25"/>
  <sheetData>
    <row r="1" spans="1:1" x14ac:dyDescent="0.25">
      <c r="A1" t="s">
        <v>214</v>
      </c>
    </row>
    <row r="2" spans="1:1" x14ac:dyDescent="0.25">
      <c r="A2" s="1" t="s">
        <v>9</v>
      </c>
    </row>
    <row r="3" spans="1:1" x14ac:dyDescent="0.25">
      <c r="A3" s="3" t="s">
        <v>11</v>
      </c>
    </row>
    <row r="4" spans="1:1" x14ac:dyDescent="0.25">
      <c r="A4" s="3" t="s">
        <v>6</v>
      </c>
    </row>
    <row r="5" spans="1:1" x14ac:dyDescent="0.25">
      <c r="A5" s="3" t="s">
        <v>7</v>
      </c>
    </row>
    <row r="6" spans="1:1" x14ac:dyDescent="0.25">
      <c r="A6" s="3" t="s">
        <v>8</v>
      </c>
    </row>
    <row r="7" spans="1:1" x14ac:dyDescent="0.25">
      <c r="A7" s="1" t="s">
        <v>12</v>
      </c>
    </row>
    <row r="8" spans="1:1" x14ac:dyDescent="0.25">
      <c r="A8" s="3" t="s">
        <v>21</v>
      </c>
    </row>
    <row r="9" spans="1:1" x14ac:dyDescent="0.25">
      <c r="A9" s="1" t="s">
        <v>10</v>
      </c>
    </row>
    <row r="10" spans="1:1" x14ac:dyDescent="0.25">
      <c r="A10" s="3" t="s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12"/>
  <sheetViews>
    <sheetView zoomScale="175" zoomScaleNormal="175" workbookViewId="0">
      <selection activeCell="E1" sqref="E1"/>
    </sheetView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t="s">
        <v>18</v>
      </c>
    </row>
    <row r="3" spans="1:1" x14ac:dyDescent="0.25">
      <c r="A3" s="2" t="s">
        <v>13</v>
      </c>
    </row>
    <row r="4" spans="1:1" x14ac:dyDescent="0.25">
      <c r="A4" t="s">
        <v>14</v>
      </c>
    </row>
    <row r="5" spans="1:1" x14ac:dyDescent="0.25">
      <c r="A5" t="s">
        <v>15</v>
      </c>
    </row>
    <row r="6" spans="1:1" x14ac:dyDescent="0.25">
      <c r="A6" t="s">
        <v>16</v>
      </c>
    </row>
    <row r="7" spans="1:1" x14ac:dyDescent="0.25">
      <c r="A7" t="s">
        <v>17</v>
      </c>
    </row>
    <row r="8" spans="1:1" x14ac:dyDescent="0.25">
      <c r="A8" t="s">
        <v>1</v>
      </c>
    </row>
    <row r="9" spans="1:1" x14ac:dyDescent="0.25">
      <c r="A9" s="2" t="s">
        <v>2</v>
      </c>
    </row>
    <row r="10" spans="1:1" x14ac:dyDescent="0.25">
      <c r="A10" t="s">
        <v>3</v>
      </c>
    </row>
    <row r="11" spans="1:1" x14ac:dyDescent="0.25">
      <c r="A11" t="s">
        <v>4</v>
      </c>
    </row>
    <row r="12" spans="1:1" x14ac:dyDescent="0.25">
      <c r="A12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00FF"/>
  </sheetPr>
  <dimension ref="A1"/>
  <sheetViews>
    <sheetView zoomScaleNormal="100" workbookViewId="0">
      <selection activeCell="F1" sqref="F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6154" r:id="rId4">
          <objectPr defaultSize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14</xdr:col>
                <xdr:colOff>466725</xdr:colOff>
                <xdr:row>27</xdr:row>
                <xdr:rowOff>123825</xdr:rowOff>
              </to>
            </anchor>
          </objectPr>
        </oleObject>
      </mc:Choice>
      <mc:Fallback>
        <oleObject progId="Word.Document.12" shapeId="6154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00FF"/>
  </sheetPr>
  <dimension ref="A1:Q179"/>
  <sheetViews>
    <sheetView zoomScale="85" zoomScaleNormal="85" workbookViewId="0">
      <selection activeCell="B7" sqref="B7"/>
    </sheetView>
  </sheetViews>
  <sheetFormatPr defaultRowHeight="15.75" x14ac:dyDescent="0.25"/>
  <cols>
    <col min="1" max="1" width="11" style="4" bestFit="1" customWidth="1"/>
    <col min="2" max="2" width="14" style="4" customWidth="1"/>
    <col min="3" max="3" width="9.28515625" bestFit="1" customWidth="1"/>
    <col min="4" max="4" width="14.5703125" customWidth="1"/>
    <col min="5" max="5" width="4.5703125" customWidth="1"/>
    <col min="6" max="7" width="19.140625" customWidth="1"/>
    <col min="8" max="8" width="9.140625" style="4"/>
    <col min="9" max="10" width="10.7109375" style="4" customWidth="1"/>
    <col min="11" max="11" width="14.28515625" style="4" bestFit="1" customWidth="1"/>
    <col min="12" max="13" width="24.28515625" customWidth="1"/>
    <col min="15" max="16" width="9.140625" style="10"/>
    <col min="17" max="17" width="14.28515625" customWidth="1"/>
    <col min="18" max="16384" width="9.140625" style="10"/>
  </cols>
  <sheetData>
    <row r="1" spans="1:17" x14ac:dyDescent="0.25">
      <c r="A1" s="20" t="s">
        <v>208</v>
      </c>
      <c r="B1" s="21"/>
      <c r="C1" s="22"/>
      <c r="D1" s="22"/>
      <c r="E1" s="22"/>
      <c r="F1" s="22"/>
      <c r="G1" s="22"/>
      <c r="H1" s="21"/>
      <c r="I1" s="21"/>
      <c r="J1" s="23"/>
    </row>
    <row r="2" spans="1:17" x14ac:dyDescent="0.25">
      <c r="A2" s="24" t="s">
        <v>210</v>
      </c>
      <c r="B2" s="25"/>
      <c r="C2" s="26"/>
      <c r="D2" s="26"/>
      <c r="E2" s="26"/>
      <c r="F2" s="26"/>
      <c r="G2" s="26"/>
      <c r="H2" s="25"/>
      <c r="I2" s="25"/>
      <c r="J2" s="27"/>
    </row>
    <row r="3" spans="1:17" x14ac:dyDescent="0.25">
      <c r="A3" s="28" t="s">
        <v>211</v>
      </c>
      <c r="B3" s="29"/>
      <c r="C3" s="30"/>
      <c r="D3" s="30"/>
      <c r="E3" s="30"/>
      <c r="F3" s="30"/>
      <c r="G3" s="30"/>
      <c r="H3" s="29"/>
      <c r="I3" s="29"/>
      <c r="J3" s="31"/>
    </row>
    <row r="5" spans="1:17" x14ac:dyDescent="0.25">
      <c r="A5" s="5" t="s">
        <v>209</v>
      </c>
      <c r="I5" s="5" t="s">
        <v>206</v>
      </c>
    </row>
    <row r="6" spans="1:17" x14ac:dyDescent="0.25">
      <c r="I6" s="10"/>
      <c r="Q6" t="s">
        <v>215</v>
      </c>
    </row>
    <row r="7" spans="1:17" ht="31.5" x14ac:dyDescent="0.25">
      <c r="A7" s="7" t="s">
        <v>19</v>
      </c>
      <c r="B7" s="9" t="s">
        <v>203</v>
      </c>
      <c r="I7" s="7" t="s">
        <v>204</v>
      </c>
      <c r="J7" s="7" t="s">
        <v>205</v>
      </c>
      <c r="K7" s="9" t="s">
        <v>22</v>
      </c>
      <c r="Q7">
        <f t="shared" ref="Q7:Q38" si="0">LOOKUP(B8,$I$8:$K$11)</f>
        <v>168</v>
      </c>
    </row>
    <row r="8" spans="1:17" x14ac:dyDescent="0.25">
      <c r="A8" s="11">
        <v>42263</v>
      </c>
      <c r="B8" s="6">
        <v>540</v>
      </c>
      <c r="I8" s="8">
        <v>0</v>
      </c>
      <c r="J8" s="8">
        <v>143</v>
      </c>
      <c r="K8" s="13">
        <v>198</v>
      </c>
      <c r="Q8">
        <f t="shared" si="0"/>
        <v>168</v>
      </c>
    </row>
    <row r="9" spans="1:17" x14ac:dyDescent="0.25">
      <c r="A9" s="11">
        <v>42262</v>
      </c>
      <c r="B9" s="6">
        <v>360</v>
      </c>
      <c r="I9" s="8">
        <v>144</v>
      </c>
      <c r="J9" s="8">
        <v>288</v>
      </c>
      <c r="K9" s="13">
        <v>187</v>
      </c>
      <c r="Q9">
        <f t="shared" si="0"/>
        <v>198</v>
      </c>
    </row>
    <row r="10" spans="1:17" x14ac:dyDescent="0.25">
      <c r="A10" s="11">
        <v>42263</v>
      </c>
      <c r="B10" s="6">
        <v>12</v>
      </c>
      <c r="I10" s="8">
        <v>289</v>
      </c>
      <c r="J10" s="8">
        <v>577</v>
      </c>
      <c r="K10" s="13">
        <v>168</v>
      </c>
      <c r="Q10">
        <f t="shared" si="0"/>
        <v>168</v>
      </c>
    </row>
    <row r="11" spans="1:17" x14ac:dyDescent="0.25">
      <c r="A11" s="11">
        <v>42262</v>
      </c>
      <c r="B11" s="6">
        <v>468</v>
      </c>
      <c r="I11" s="8">
        <v>578</v>
      </c>
      <c r="J11" s="8" t="s">
        <v>20</v>
      </c>
      <c r="K11" s="13">
        <v>152</v>
      </c>
      <c r="Q11">
        <f t="shared" si="0"/>
        <v>198</v>
      </c>
    </row>
    <row r="12" spans="1:17" x14ac:dyDescent="0.25">
      <c r="A12" s="11">
        <v>42264</v>
      </c>
      <c r="B12" s="6">
        <v>48</v>
      </c>
      <c r="I12" s="10"/>
      <c r="J12" s="10"/>
      <c r="K12" s="10"/>
      <c r="Q12">
        <f t="shared" si="0"/>
        <v>198</v>
      </c>
    </row>
    <row r="13" spans="1:17" x14ac:dyDescent="0.25">
      <c r="A13" s="11">
        <v>42265</v>
      </c>
      <c r="B13" s="6">
        <v>84</v>
      </c>
      <c r="I13" s="10"/>
      <c r="J13" s="10"/>
      <c r="K13" s="10"/>
      <c r="Q13">
        <f t="shared" si="0"/>
        <v>168</v>
      </c>
    </row>
    <row r="14" spans="1:17" x14ac:dyDescent="0.25">
      <c r="A14" s="11">
        <v>42264</v>
      </c>
      <c r="B14" s="6">
        <v>540</v>
      </c>
      <c r="I14" s="12"/>
      <c r="J14" s="12"/>
      <c r="K14" s="12"/>
      <c r="Q14">
        <f t="shared" si="0"/>
        <v>168</v>
      </c>
    </row>
    <row r="15" spans="1:17" x14ac:dyDescent="0.25">
      <c r="A15" s="11">
        <v>42265</v>
      </c>
      <c r="B15" s="6">
        <v>492</v>
      </c>
      <c r="Q15">
        <f t="shared" si="0"/>
        <v>187</v>
      </c>
    </row>
    <row r="16" spans="1:17" x14ac:dyDescent="0.25">
      <c r="A16" s="11">
        <v>42265</v>
      </c>
      <c r="B16" s="6">
        <v>204</v>
      </c>
      <c r="Q16">
        <f t="shared" si="0"/>
        <v>168</v>
      </c>
    </row>
    <row r="17" spans="1:17" x14ac:dyDescent="0.25">
      <c r="A17" s="11">
        <v>42262</v>
      </c>
      <c r="B17" s="6">
        <v>408</v>
      </c>
      <c r="Q17">
        <f t="shared" si="0"/>
        <v>152</v>
      </c>
    </row>
    <row r="18" spans="1:17" x14ac:dyDescent="0.25">
      <c r="A18" s="11">
        <v>42264</v>
      </c>
      <c r="B18" s="6">
        <v>780</v>
      </c>
      <c r="Q18">
        <f t="shared" si="0"/>
        <v>168</v>
      </c>
    </row>
    <row r="19" spans="1:17" x14ac:dyDescent="0.25">
      <c r="A19" s="11">
        <v>42263</v>
      </c>
      <c r="B19" s="6">
        <v>444</v>
      </c>
      <c r="Q19">
        <f t="shared" si="0"/>
        <v>168</v>
      </c>
    </row>
    <row r="20" spans="1:17" x14ac:dyDescent="0.25">
      <c r="A20" s="11">
        <v>42262</v>
      </c>
      <c r="B20" s="6">
        <v>432</v>
      </c>
      <c r="Q20">
        <f t="shared" si="0"/>
        <v>168</v>
      </c>
    </row>
    <row r="21" spans="1:17" x14ac:dyDescent="0.25">
      <c r="A21" s="11">
        <v>42263</v>
      </c>
      <c r="B21" s="6">
        <v>456</v>
      </c>
      <c r="Q21">
        <f t="shared" si="0"/>
        <v>152</v>
      </c>
    </row>
    <row r="22" spans="1:17" x14ac:dyDescent="0.25">
      <c r="A22" s="11">
        <v>42263</v>
      </c>
      <c r="B22" s="6">
        <v>768</v>
      </c>
      <c r="Q22">
        <f t="shared" si="0"/>
        <v>168</v>
      </c>
    </row>
    <row r="23" spans="1:17" s="4" customFormat="1" x14ac:dyDescent="0.25">
      <c r="A23" s="11">
        <v>42264</v>
      </c>
      <c r="B23" s="6">
        <v>528</v>
      </c>
      <c r="C23"/>
      <c r="D23"/>
      <c r="E23"/>
      <c r="F23"/>
      <c r="G23"/>
      <c r="L23"/>
      <c r="N23"/>
      <c r="Q23">
        <f t="shared" si="0"/>
        <v>152</v>
      </c>
    </row>
    <row r="24" spans="1:17" s="4" customFormat="1" x14ac:dyDescent="0.25">
      <c r="A24" s="11">
        <v>42262</v>
      </c>
      <c r="B24" s="6">
        <v>624</v>
      </c>
      <c r="C24"/>
      <c r="D24"/>
      <c r="E24"/>
      <c r="F24"/>
      <c r="G24"/>
      <c r="L24"/>
      <c r="N24"/>
      <c r="Q24">
        <f t="shared" si="0"/>
        <v>168</v>
      </c>
    </row>
    <row r="25" spans="1:17" s="4" customFormat="1" x14ac:dyDescent="0.25">
      <c r="A25" s="11">
        <v>42264</v>
      </c>
      <c r="B25" s="6">
        <v>372</v>
      </c>
      <c r="C25"/>
      <c r="D25"/>
      <c r="E25"/>
      <c r="F25"/>
      <c r="G25"/>
      <c r="L25"/>
      <c r="N25"/>
      <c r="Q25">
        <f t="shared" si="0"/>
        <v>152</v>
      </c>
    </row>
    <row r="26" spans="1:17" s="4" customFormat="1" x14ac:dyDescent="0.25">
      <c r="A26" s="11">
        <v>42265</v>
      </c>
      <c r="B26" s="6">
        <v>588</v>
      </c>
      <c r="C26"/>
      <c r="D26"/>
      <c r="E26"/>
      <c r="F26"/>
      <c r="G26"/>
      <c r="L26"/>
      <c r="N26"/>
      <c r="Q26">
        <f t="shared" si="0"/>
        <v>168</v>
      </c>
    </row>
    <row r="27" spans="1:17" s="4" customFormat="1" x14ac:dyDescent="0.25">
      <c r="A27" s="11">
        <v>42262</v>
      </c>
      <c r="B27" s="6">
        <v>504</v>
      </c>
      <c r="C27"/>
      <c r="D27"/>
      <c r="E27"/>
      <c r="F27"/>
      <c r="G27"/>
      <c r="L27"/>
      <c r="N27"/>
      <c r="Q27">
        <f t="shared" si="0"/>
        <v>168</v>
      </c>
    </row>
    <row r="28" spans="1:17" s="4" customFormat="1" x14ac:dyDescent="0.25">
      <c r="A28" s="11">
        <v>42263</v>
      </c>
      <c r="B28" s="6">
        <v>504</v>
      </c>
      <c r="C28"/>
      <c r="D28"/>
      <c r="E28"/>
      <c r="F28"/>
      <c r="G28"/>
      <c r="L28"/>
      <c r="N28"/>
      <c r="Q28">
        <f t="shared" si="0"/>
        <v>152</v>
      </c>
    </row>
    <row r="29" spans="1:17" s="4" customFormat="1" x14ac:dyDescent="0.25">
      <c r="A29" s="11">
        <v>42265</v>
      </c>
      <c r="B29" s="6">
        <v>660</v>
      </c>
      <c r="C29"/>
      <c r="D29"/>
      <c r="E29"/>
      <c r="F29"/>
      <c r="G29"/>
      <c r="L29"/>
      <c r="N29"/>
      <c r="Q29">
        <f t="shared" si="0"/>
        <v>168</v>
      </c>
    </row>
    <row r="30" spans="1:17" s="4" customFormat="1" x14ac:dyDescent="0.25">
      <c r="A30" s="11">
        <v>42263</v>
      </c>
      <c r="B30" s="6">
        <v>468</v>
      </c>
      <c r="C30"/>
      <c r="D30"/>
      <c r="E30"/>
      <c r="F30"/>
      <c r="G30"/>
      <c r="L30"/>
      <c r="N30"/>
      <c r="Q30">
        <f t="shared" si="0"/>
        <v>168</v>
      </c>
    </row>
    <row r="31" spans="1:17" s="4" customFormat="1" x14ac:dyDescent="0.25">
      <c r="A31" s="11">
        <v>42265</v>
      </c>
      <c r="B31" s="6">
        <v>492</v>
      </c>
      <c r="C31"/>
      <c r="D31"/>
      <c r="E31"/>
      <c r="F31"/>
      <c r="G31"/>
      <c r="L31"/>
      <c r="N31"/>
      <c r="Q31">
        <f t="shared" si="0"/>
        <v>187</v>
      </c>
    </row>
    <row r="32" spans="1:17" s="4" customFormat="1" x14ac:dyDescent="0.25">
      <c r="A32" s="11">
        <v>42265</v>
      </c>
      <c r="B32" s="6">
        <v>204</v>
      </c>
      <c r="C32"/>
      <c r="D32"/>
      <c r="E32"/>
      <c r="F32"/>
      <c r="G32"/>
      <c r="L32"/>
      <c r="N32"/>
      <c r="Q32">
        <f t="shared" si="0"/>
        <v>187</v>
      </c>
    </row>
    <row r="33" spans="1:17" s="4" customFormat="1" x14ac:dyDescent="0.25">
      <c r="A33" s="11">
        <v>42262</v>
      </c>
      <c r="B33" s="6">
        <v>168</v>
      </c>
      <c r="C33"/>
      <c r="D33"/>
      <c r="E33"/>
      <c r="F33"/>
      <c r="G33"/>
      <c r="L33"/>
      <c r="N33"/>
      <c r="Q33">
        <f t="shared" si="0"/>
        <v>198</v>
      </c>
    </row>
    <row r="34" spans="1:17" s="4" customFormat="1" x14ac:dyDescent="0.25">
      <c r="A34" s="11">
        <v>42264</v>
      </c>
      <c r="B34" s="6">
        <v>84</v>
      </c>
      <c r="C34"/>
      <c r="D34"/>
      <c r="E34"/>
      <c r="F34"/>
      <c r="G34"/>
      <c r="L34"/>
      <c r="N34"/>
      <c r="Q34">
        <f t="shared" si="0"/>
        <v>152</v>
      </c>
    </row>
    <row r="35" spans="1:17" s="4" customFormat="1" x14ac:dyDescent="0.25">
      <c r="A35" s="11">
        <v>42264</v>
      </c>
      <c r="B35" s="6">
        <v>588</v>
      </c>
      <c r="C35"/>
      <c r="D35"/>
      <c r="E35"/>
      <c r="F35"/>
      <c r="G35"/>
      <c r="L35"/>
      <c r="N35"/>
      <c r="Q35">
        <f t="shared" si="0"/>
        <v>187</v>
      </c>
    </row>
    <row r="36" spans="1:17" s="4" customFormat="1" x14ac:dyDescent="0.25">
      <c r="A36" s="11">
        <v>42262</v>
      </c>
      <c r="B36" s="6">
        <v>240</v>
      </c>
      <c r="C36"/>
      <c r="D36"/>
      <c r="E36"/>
      <c r="F36"/>
      <c r="G36"/>
      <c r="L36"/>
      <c r="N36"/>
      <c r="Q36">
        <f t="shared" si="0"/>
        <v>152</v>
      </c>
    </row>
    <row r="37" spans="1:17" s="4" customFormat="1" x14ac:dyDescent="0.25">
      <c r="A37" s="11">
        <v>42265</v>
      </c>
      <c r="B37" s="6">
        <v>696</v>
      </c>
      <c r="C37"/>
      <c r="D37"/>
      <c r="E37"/>
      <c r="F37"/>
      <c r="G37"/>
      <c r="L37"/>
      <c r="N37"/>
      <c r="Q37">
        <f t="shared" si="0"/>
        <v>168</v>
      </c>
    </row>
    <row r="38" spans="1:17" s="4" customFormat="1" x14ac:dyDescent="0.25">
      <c r="A38" s="11">
        <v>42262</v>
      </c>
      <c r="B38" s="6">
        <v>360</v>
      </c>
      <c r="C38"/>
      <c r="D38"/>
      <c r="E38"/>
      <c r="F38"/>
      <c r="G38"/>
      <c r="L38"/>
      <c r="N38"/>
      <c r="Q38">
        <f t="shared" si="0"/>
        <v>187</v>
      </c>
    </row>
    <row r="39" spans="1:17" s="4" customFormat="1" x14ac:dyDescent="0.25">
      <c r="A39" s="11">
        <v>42262</v>
      </c>
      <c r="B39" s="6">
        <v>264</v>
      </c>
      <c r="C39"/>
      <c r="D39"/>
      <c r="E39"/>
      <c r="F39"/>
      <c r="G39"/>
      <c r="L39"/>
      <c r="N39"/>
      <c r="Q39">
        <f t="shared" ref="Q39:Q70" si="1">LOOKUP(B40,$I$8:$K$11)</f>
        <v>152</v>
      </c>
    </row>
    <row r="40" spans="1:17" s="4" customFormat="1" x14ac:dyDescent="0.25">
      <c r="A40" s="11">
        <v>42262</v>
      </c>
      <c r="B40" s="6">
        <v>612</v>
      </c>
      <c r="C40"/>
      <c r="D40"/>
      <c r="E40"/>
      <c r="F40"/>
      <c r="G40"/>
      <c r="L40"/>
      <c r="N40"/>
      <c r="Q40">
        <f t="shared" si="1"/>
        <v>152</v>
      </c>
    </row>
    <row r="41" spans="1:17" s="4" customFormat="1" x14ac:dyDescent="0.25">
      <c r="A41" s="11">
        <v>42263</v>
      </c>
      <c r="B41" s="6">
        <v>792</v>
      </c>
      <c r="C41"/>
      <c r="D41"/>
      <c r="E41"/>
      <c r="F41"/>
      <c r="G41"/>
      <c r="L41"/>
      <c r="N41"/>
      <c r="Q41">
        <f t="shared" si="1"/>
        <v>198</v>
      </c>
    </row>
    <row r="42" spans="1:17" s="4" customFormat="1" x14ac:dyDescent="0.25">
      <c r="A42" s="11">
        <v>42265</v>
      </c>
      <c r="B42" s="6">
        <v>12</v>
      </c>
      <c r="C42"/>
      <c r="D42"/>
      <c r="E42"/>
      <c r="F42"/>
      <c r="G42"/>
      <c r="L42"/>
      <c r="N42"/>
      <c r="Q42">
        <f t="shared" si="1"/>
        <v>168</v>
      </c>
    </row>
    <row r="43" spans="1:17" s="4" customFormat="1" x14ac:dyDescent="0.25">
      <c r="A43" s="11">
        <v>42265</v>
      </c>
      <c r="B43" s="6">
        <v>324</v>
      </c>
      <c r="C43"/>
      <c r="D43"/>
      <c r="E43"/>
      <c r="F43"/>
      <c r="G43"/>
      <c r="L43"/>
      <c r="N43"/>
      <c r="Q43">
        <f t="shared" si="1"/>
        <v>168</v>
      </c>
    </row>
    <row r="44" spans="1:17" s="4" customFormat="1" x14ac:dyDescent="0.25">
      <c r="A44" s="11">
        <v>42262</v>
      </c>
      <c r="B44" s="6">
        <v>324</v>
      </c>
      <c r="C44"/>
      <c r="D44"/>
      <c r="E44"/>
      <c r="F44"/>
      <c r="G44"/>
      <c r="L44"/>
      <c r="N44"/>
      <c r="Q44">
        <f t="shared" si="1"/>
        <v>152</v>
      </c>
    </row>
    <row r="45" spans="1:17" s="4" customFormat="1" x14ac:dyDescent="0.25">
      <c r="A45" s="11">
        <v>42262</v>
      </c>
      <c r="B45" s="6">
        <v>588</v>
      </c>
      <c r="C45"/>
      <c r="D45"/>
      <c r="E45"/>
      <c r="F45"/>
      <c r="G45"/>
      <c r="L45"/>
      <c r="N45"/>
      <c r="Q45">
        <f t="shared" si="1"/>
        <v>168</v>
      </c>
    </row>
    <row r="46" spans="1:17" s="4" customFormat="1" x14ac:dyDescent="0.25">
      <c r="A46" s="11">
        <v>42264</v>
      </c>
      <c r="B46" s="6">
        <v>492</v>
      </c>
      <c r="C46"/>
      <c r="D46"/>
      <c r="E46"/>
      <c r="F46"/>
      <c r="G46"/>
      <c r="L46"/>
      <c r="N46"/>
      <c r="Q46">
        <f t="shared" si="1"/>
        <v>152</v>
      </c>
    </row>
    <row r="47" spans="1:17" s="4" customFormat="1" x14ac:dyDescent="0.25">
      <c r="A47" s="11">
        <v>42262</v>
      </c>
      <c r="B47" s="6">
        <v>804</v>
      </c>
      <c r="C47"/>
      <c r="D47"/>
      <c r="E47"/>
      <c r="F47"/>
      <c r="G47"/>
      <c r="L47"/>
      <c r="N47"/>
      <c r="Q47">
        <f t="shared" si="1"/>
        <v>168</v>
      </c>
    </row>
    <row r="48" spans="1:17" s="4" customFormat="1" x14ac:dyDescent="0.25">
      <c r="A48" s="11">
        <v>42262</v>
      </c>
      <c r="B48" s="6">
        <v>540</v>
      </c>
      <c r="C48"/>
      <c r="D48"/>
      <c r="E48"/>
      <c r="F48"/>
      <c r="G48"/>
      <c r="L48"/>
      <c r="N48"/>
      <c r="Q48">
        <f t="shared" si="1"/>
        <v>168</v>
      </c>
    </row>
    <row r="49" spans="1:17" s="4" customFormat="1" x14ac:dyDescent="0.25">
      <c r="A49" s="11">
        <v>42264</v>
      </c>
      <c r="B49" s="6">
        <v>468</v>
      </c>
      <c r="C49"/>
      <c r="D49"/>
      <c r="E49"/>
      <c r="F49"/>
      <c r="G49"/>
      <c r="L49"/>
      <c r="N49"/>
      <c r="Q49">
        <f t="shared" si="1"/>
        <v>152</v>
      </c>
    </row>
    <row r="50" spans="1:17" s="4" customFormat="1" x14ac:dyDescent="0.25">
      <c r="A50" s="11">
        <v>42262</v>
      </c>
      <c r="B50" s="6">
        <v>624</v>
      </c>
      <c r="C50"/>
      <c r="D50"/>
      <c r="E50"/>
      <c r="F50"/>
      <c r="G50"/>
      <c r="L50"/>
      <c r="N50"/>
      <c r="Q50">
        <f t="shared" si="1"/>
        <v>168</v>
      </c>
    </row>
    <row r="51" spans="1:17" s="4" customFormat="1" x14ac:dyDescent="0.25">
      <c r="A51" s="11">
        <v>42263</v>
      </c>
      <c r="B51" s="6">
        <v>396</v>
      </c>
      <c r="C51"/>
      <c r="D51"/>
      <c r="E51"/>
      <c r="F51"/>
      <c r="G51"/>
      <c r="L51"/>
      <c r="N51"/>
      <c r="Q51">
        <f t="shared" si="1"/>
        <v>198</v>
      </c>
    </row>
    <row r="52" spans="1:17" s="4" customFormat="1" x14ac:dyDescent="0.25">
      <c r="A52" s="11">
        <v>42262</v>
      </c>
      <c r="B52" s="6">
        <v>36</v>
      </c>
      <c r="C52"/>
      <c r="D52"/>
      <c r="E52"/>
      <c r="F52"/>
      <c r="G52"/>
      <c r="L52"/>
      <c r="N52"/>
      <c r="Q52">
        <f t="shared" si="1"/>
        <v>168</v>
      </c>
    </row>
    <row r="53" spans="1:17" s="4" customFormat="1" x14ac:dyDescent="0.25">
      <c r="A53" s="11">
        <v>42265</v>
      </c>
      <c r="B53" s="6">
        <v>384</v>
      </c>
      <c r="C53"/>
      <c r="D53"/>
      <c r="E53"/>
      <c r="F53"/>
      <c r="G53"/>
      <c r="L53"/>
      <c r="N53"/>
      <c r="Q53">
        <f t="shared" si="1"/>
        <v>198</v>
      </c>
    </row>
    <row r="54" spans="1:17" s="4" customFormat="1" x14ac:dyDescent="0.25">
      <c r="A54" s="11">
        <v>42262</v>
      </c>
      <c r="B54" s="6">
        <v>132</v>
      </c>
      <c r="C54"/>
      <c r="D54"/>
      <c r="E54"/>
      <c r="F54"/>
      <c r="G54"/>
      <c r="L54"/>
      <c r="N54"/>
      <c r="Q54">
        <f t="shared" si="1"/>
        <v>168</v>
      </c>
    </row>
    <row r="55" spans="1:17" s="4" customFormat="1" x14ac:dyDescent="0.25">
      <c r="A55" s="11">
        <v>42265</v>
      </c>
      <c r="B55" s="6">
        <v>312</v>
      </c>
      <c r="C55"/>
      <c r="D55"/>
      <c r="E55"/>
      <c r="F55"/>
      <c r="G55"/>
      <c r="L55"/>
      <c r="N55"/>
      <c r="Q55">
        <f t="shared" si="1"/>
        <v>168</v>
      </c>
    </row>
    <row r="56" spans="1:17" s="4" customFormat="1" x14ac:dyDescent="0.25">
      <c r="A56" s="11">
        <v>42263</v>
      </c>
      <c r="B56" s="6">
        <v>492</v>
      </c>
      <c r="C56"/>
      <c r="D56"/>
      <c r="E56"/>
      <c r="F56"/>
      <c r="G56"/>
      <c r="L56"/>
      <c r="N56"/>
      <c r="Q56">
        <f t="shared" si="1"/>
        <v>168</v>
      </c>
    </row>
    <row r="57" spans="1:17" s="4" customFormat="1" x14ac:dyDescent="0.25">
      <c r="A57" s="11">
        <v>42264</v>
      </c>
      <c r="B57" s="6">
        <v>516</v>
      </c>
      <c r="C57"/>
      <c r="D57"/>
      <c r="E57"/>
      <c r="F57"/>
      <c r="G57"/>
      <c r="L57"/>
      <c r="N57"/>
      <c r="Q57">
        <f t="shared" si="1"/>
        <v>152</v>
      </c>
    </row>
    <row r="58" spans="1:17" s="4" customFormat="1" x14ac:dyDescent="0.25">
      <c r="A58" s="11">
        <v>42263</v>
      </c>
      <c r="B58" s="6">
        <v>744</v>
      </c>
      <c r="C58"/>
      <c r="D58"/>
      <c r="E58"/>
      <c r="F58"/>
      <c r="G58"/>
      <c r="L58"/>
      <c r="N58"/>
      <c r="Q58">
        <f t="shared" si="1"/>
        <v>187</v>
      </c>
    </row>
    <row r="59" spans="1:17" s="4" customFormat="1" x14ac:dyDescent="0.25">
      <c r="A59" s="11">
        <v>42262</v>
      </c>
      <c r="B59" s="6">
        <v>240</v>
      </c>
      <c r="C59"/>
      <c r="D59"/>
      <c r="E59"/>
      <c r="F59"/>
      <c r="G59"/>
      <c r="L59"/>
      <c r="N59"/>
      <c r="Q59">
        <f t="shared" si="1"/>
        <v>187</v>
      </c>
    </row>
    <row r="60" spans="1:17" s="4" customFormat="1" x14ac:dyDescent="0.25">
      <c r="A60" s="11">
        <v>42264</v>
      </c>
      <c r="B60" s="6">
        <v>252</v>
      </c>
      <c r="C60"/>
      <c r="D60"/>
      <c r="E60"/>
      <c r="F60"/>
      <c r="G60"/>
      <c r="L60"/>
      <c r="N60"/>
      <c r="Q60">
        <f t="shared" si="1"/>
        <v>152</v>
      </c>
    </row>
    <row r="61" spans="1:17" s="4" customFormat="1" x14ac:dyDescent="0.25">
      <c r="A61" s="11">
        <v>42262</v>
      </c>
      <c r="B61" s="6">
        <v>768</v>
      </c>
      <c r="C61"/>
      <c r="D61"/>
      <c r="E61"/>
      <c r="F61"/>
      <c r="G61"/>
      <c r="L61"/>
      <c r="N61"/>
      <c r="Q61">
        <f t="shared" si="1"/>
        <v>168</v>
      </c>
    </row>
    <row r="62" spans="1:17" s="4" customFormat="1" x14ac:dyDescent="0.25">
      <c r="A62" s="11">
        <v>42262</v>
      </c>
      <c r="B62" s="6">
        <v>468</v>
      </c>
      <c r="C62"/>
      <c r="D62"/>
      <c r="E62"/>
      <c r="F62"/>
      <c r="G62"/>
      <c r="L62"/>
      <c r="N62"/>
      <c r="Q62">
        <f t="shared" si="1"/>
        <v>152</v>
      </c>
    </row>
    <row r="63" spans="1:17" s="4" customFormat="1" x14ac:dyDescent="0.25">
      <c r="A63" s="11">
        <v>42262</v>
      </c>
      <c r="B63" s="6">
        <v>720</v>
      </c>
      <c r="C63"/>
      <c r="D63"/>
      <c r="E63"/>
      <c r="F63"/>
      <c r="G63"/>
      <c r="L63"/>
      <c r="N63"/>
      <c r="Q63">
        <f t="shared" si="1"/>
        <v>152</v>
      </c>
    </row>
    <row r="64" spans="1:17" s="4" customFormat="1" x14ac:dyDescent="0.25">
      <c r="A64" s="11">
        <v>42264</v>
      </c>
      <c r="B64" s="6">
        <v>804</v>
      </c>
      <c r="C64"/>
      <c r="D64"/>
      <c r="E64"/>
      <c r="F64"/>
      <c r="G64"/>
      <c r="L64"/>
      <c r="N64"/>
      <c r="Q64">
        <f t="shared" si="1"/>
        <v>187</v>
      </c>
    </row>
    <row r="65" spans="1:17" s="4" customFormat="1" x14ac:dyDescent="0.25">
      <c r="A65" s="11">
        <v>42264</v>
      </c>
      <c r="B65" s="6">
        <v>192</v>
      </c>
      <c r="C65"/>
      <c r="D65"/>
      <c r="E65"/>
      <c r="F65"/>
      <c r="G65"/>
      <c r="L65"/>
      <c r="N65"/>
      <c r="Q65">
        <f t="shared" si="1"/>
        <v>152</v>
      </c>
    </row>
    <row r="66" spans="1:17" s="4" customFormat="1" x14ac:dyDescent="0.25">
      <c r="A66" s="11">
        <v>42262</v>
      </c>
      <c r="B66" s="6">
        <v>732</v>
      </c>
      <c r="C66"/>
      <c r="D66"/>
      <c r="E66"/>
      <c r="F66"/>
      <c r="G66"/>
      <c r="L66"/>
      <c r="N66"/>
      <c r="Q66">
        <f t="shared" si="1"/>
        <v>187</v>
      </c>
    </row>
    <row r="67" spans="1:17" s="4" customFormat="1" x14ac:dyDescent="0.25">
      <c r="A67" s="11">
        <v>42264</v>
      </c>
      <c r="B67" s="6">
        <v>216</v>
      </c>
      <c r="C67"/>
      <c r="D67"/>
      <c r="E67"/>
      <c r="F67"/>
      <c r="G67"/>
      <c r="L67"/>
      <c r="N67"/>
      <c r="Q67">
        <f t="shared" si="1"/>
        <v>152</v>
      </c>
    </row>
    <row r="68" spans="1:17" s="4" customFormat="1" x14ac:dyDescent="0.25">
      <c r="A68" s="11">
        <v>42262</v>
      </c>
      <c r="B68" s="6">
        <v>648</v>
      </c>
      <c r="C68"/>
      <c r="D68"/>
      <c r="E68"/>
      <c r="F68"/>
      <c r="G68"/>
      <c r="L68"/>
      <c r="N68"/>
      <c r="Q68">
        <f t="shared" si="1"/>
        <v>168</v>
      </c>
    </row>
    <row r="69" spans="1:17" s="4" customFormat="1" x14ac:dyDescent="0.25">
      <c r="A69" s="11">
        <v>42263</v>
      </c>
      <c r="B69" s="6">
        <v>432</v>
      </c>
      <c r="C69"/>
      <c r="D69"/>
      <c r="E69"/>
      <c r="F69"/>
      <c r="G69"/>
      <c r="L69"/>
      <c r="N69"/>
      <c r="Q69">
        <f t="shared" si="1"/>
        <v>168</v>
      </c>
    </row>
    <row r="70" spans="1:17" s="4" customFormat="1" x14ac:dyDescent="0.25">
      <c r="A70" s="11">
        <v>42262</v>
      </c>
      <c r="B70" s="6">
        <v>384</v>
      </c>
      <c r="C70"/>
      <c r="D70"/>
      <c r="E70"/>
      <c r="F70"/>
      <c r="G70"/>
      <c r="L70"/>
      <c r="N70"/>
      <c r="Q70">
        <f t="shared" si="1"/>
        <v>187</v>
      </c>
    </row>
    <row r="71" spans="1:17" s="4" customFormat="1" x14ac:dyDescent="0.25">
      <c r="A71" s="11">
        <v>42262</v>
      </c>
      <c r="B71" s="6">
        <v>144</v>
      </c>
      <c r="C71"/>
      <c r="D71"/>
      <c r="E71"/>
      <c r="F71"/>
      <c r="G71"/>
      <c r="L71"/>
      <c r="N71"/>
      <c r="Q71">
        <f t="shared" ref="Q71:Q102" si="2">LOOKUP(B72,$I$8:$K$11)</f>
        <v>152</v>
      </c>
    </row>
    <row r="72" spans="1:17" s="4" customFormat="1" x14ac:dyDescent="0.25">
      <c r="A72" s="11">
        <v>42265</v>
      </c>
      <c r="B72" s="6">
        <v>684</v>
      </c>
      <c r="C72"/>
      <c r="D72"/>
      <c r="E72"/>
      <c r="F72"/>
      <c r="G72"/>
      <c r="L72"/>
      <c r="N72"/>
      <c r="Q72">
        <f t="shared" si="2"/>
        <v>187</v>
      </c>
    </row>
    <row r="73" spans="1:17" s="4" customFormat="1" x14ac:dyDescent="0.25">
      <c r="A73" s="11">
        <v>42262</v>
      </c>
      <c r="B73" s="6">
        <v>216</v>
      </c>
      <c r="C73"/>
      <c r="D73"/>
      <c r="E73"/>
      <c r="F73"/>
      <c r="G73"/>
      <c r="L73"/>
      <c r="N73"/>
      <c r="Q73">
        <f t="shared" si="2"/>
        <v>168</v>
      </c>
    </row>
    <row r="74" spans="1:17" s="4" customFormat="1" x14ac:dyDescent="0.25">
      <c r="A74" s="11">
        <v>42262</v>
      </c>
      <c r="B74" s="6">
        <v>480</v>
      </c>
      <c r="C74"/>
      <c r="D74"/>
      <c r="E74"/>
      <c r="F74"/>
      <c r="G74"/>
      <c r="L74"/>
      <c r="N74"/>
      <c r="Q74">
        <f t="shared" si="2"/>
        <v>168</v>
      </c>
    </row>
    <row r="75" spans="1:17" s="4" customFormat="1" x14ac:dyDescent="0.25">
      <c r="A75" s="11">
        <v>42262</v>
      </c>
      <c r="B75" s="6">
        <v>384</v>
      </c>
      <c r="C75"/>
      <c r="D75"/>
      <c r="E75"/>
      <c r="F75"/>
      <c r="G75"/>
      <c r="L75"/>
      <c r="N75"/>
      <c r="Q75">
        <f t="shared" si="2"/>
        <v>198</v>
      </c>
    </row>
    <row r="76" spans="1:17" s="4" customFormat="1" x14ac:dyDescent="0.25">
      <c r="A76" s="11">
        <v>42262</v>
      </c>
      <c r="B76" s="6">
        <v>84</v>
      </c>
      <c r="C76"/>
      <c r="D76"/>
      <c r="E76"/>
      <c r="F76"/>
      <c r="G76"/>
      <c r="L76"/>
      <c r="N76"/>
      <c r="Q76">
        <f t="shared" si="2"/>
        <v>152</v>
      </c>
    </row>
    <row r="77" spans="1:17" s="4" customFormat="1" x14ac:dyDescent="0.25">
      <c r="A77" s="11">
        <v>42262</v>
      </c>
      <c r="B77" s="6">
        <v>756</v>
      </c>
      <c r="C77"/>
      <c r="D77"/>
      <c r="E77"/>
      <c r="F77"/>
      <c r="G77"/>
      <c r="L77"/>
      <c r="N77"/>
      <c r="Q77">
        <f t="shared" si="2"/>
        <v>152</v>
      </c>
    </row>
    <row r="78" spans="1:17" s="4" customFormat="1" x14ac:dyDescent="0.25">
      <c r="A78" s="11">
        <v>42265</v>
      </c>
      <c r="B78" s="6">
        <v>744</v>
      </c>
      <c r="C78"/>
      <c r="D78"/>
      <c r="E78"/>
      <c r="F78"/>
      <c r="G78"/>
      <c r="L78"/>
      <c r="N78"/>
      <c r="Q78">
        <f t="shared" si="2"/>
        <v>168</v>
      </c>
    </row>
    <row r="79" spans="1:17" s="4" customFormat="1" x14ac:dyDescent="0.25">
      <c r="A79" s="11">
        <v>42265</v>
      </c>
      <c r="B79" s="6">
        <v>300</v>
      </c>
      <c r="C79"/>
      <c r="D79"/>
      <c r="E79"/>
      <c r="F79"/>
      <c r="G79"/>
      <c r="L79"/>
      <c r="N79"/>
      <c r="Q79">
        <f t="shared" si="2"/>
        <v>168</v>
      </c>
    </row>
    <row r="80" spans="1:17" s="4" customFormat="1" x14ac:dyDescent="0.25">
      <c r="A80" s="11">
        <v>42262</v>
      </c>
      <c r="B80" s="6">
        <v>576</v>
      </c>
      <c r="C80"/>
      <c r="D80"/>
      <c r="E80"/>
      <c r="F80"/>
      <c r="G80"/>
      <c r="L80"/>
      <c r="N80"/>
      <c r="Q80">
        <f t="shared" si="2"/>
        <v>168</v>
      </c>
    </row>
    <row r="81" spans="1:17" s="4" customFormat="1" x14ac:dyDescent="0.25">
      <c r="A81" s="11">
        <v>42265</v>
      </c>
      <c r="B81" s="6">
        <v>408</v>
      </c>
      <c r="C81"/>
      <c r="D81"/>
      <c r="E81"/>
      <c r="F81"/>
      <c r="G81"/>
      <c r="L81"/>
      <c r="N81"/>
      <c r="Q81">
        <f t="shared" si="2"/>
        <v>168</v>
      </c>
    </row>
    <row r="82" spans="1:17" s="4" customFormat="1" x14ac:dyDescent="0.25">
      <c r="A82" s="11">
        <v>42264</v>
      </c>
      <c r="B82" s="6">
        <v>420</v>
      </c>
      <c r="C82"/>
      <c r="D82"/>
      <c r="E82"/>
      <c r="F82"/>
      <c r="G82"/>
      <c r="L82"/>
      <c r="N82"/>
      <c r="Q82">
        <f t="shared" si="2"/>
        <v>187</v>
      </c>
    </row>
    <row r="83" spans="1:17" s="4" customFormat="1" x14ac:dyDescent="0.25">
      <c r="A83" s="11">
        <v>42263</v>
      </c>
      <c r="B83" s="6">
        <v>240</v>
      </c>
      <c r="C83"/>
      <c r="D83"/>
      <c r="E83"/>
      <c r="F83"/>
      <c r="G83"/>
      <c r="L83"/>
      <c r="N83"/>
      <c r="Q83">
        <f t="shared" si="2"/>
        <v>198</v>
      </c>
    </row>
    <row r="84" spans="1:17" s="4" customFormat="1" x14ac:dyDescent="0.25">
      <c r="A84" s="11">
        <v>42264</v>
      </c>
      <c r="B84" s="6">
        <v>96</v>
      </c>
      <c r="C84"/>
      <c r="D84"/>
      <c r="E84"/>
      <c r="F84"/>
      <c r="G84"/>
      <c r="L84"/>
      <c r="N84"/>
      <c r="Q84">
        <f t="shared" si="2"/>
        <v>168</v>
      </c>
    </row>
    <row r="85" spans="1:17" s="4" customFormat="1" x14ac:dyDescent="0.25">
      <c r="A85" s="11">
        <v>42263</v>
      </c>
      <c r="B85" s="6">
        <v>348</v>
      </c>
      <c r="C85"/>
      <c r="D85"/>
      <c r="E85"/>
      <c r="F85"/>
      <c r="G85"/>
      <c r="L85"/>
      <c r="N85"/>
      <c r="Q85">
        <f t="shared" si="2"/>
        <v>168</v>
      </c>
    </row>
    <row r="86" spans="1:17" s="4" customFormat="1" x14ac:dyDescent="0.25">
      <c r="A86" s="11">
        <v>42265</v>
      </c>
      <c r="B86" s="6">
        <v>420</v>
      </c>
      <c r="C86"/>
      <c r="D86"/>
      <c r="E86"/>
      <c r="F86"/>
      <c r="G86"/>
      <c r="L86"/>
      <c r="N86"/>
      <c r="Q86">
        <f t="shared" si="2"/>
        <v>198</v>
      </c>
    </row>
    <row r="87" spans="1:17" s="4" customFormat="1" x14ac:dyDescent="0.25">
      <c r="A87" s="11">
        <v>42265</v>
      </c>
      <c r="B87" s="6">
        <v>132</v>
      </c>
      <c r="C87"/>
      <c r="D87"/>
      <c r="E87"/>
      <c r="F87"/>
      <c r="G87"/>
      <c r="L87"/>
      <c r="N87"/>
      <c r="Q87">
        <f t="shared" si="2"/>
        <v>168</v>
      </c>
    </row>
    <row r="88" spans="1:17" s="4" customFormat="1" x14ac:dyDescent="0.25">
      <c r="A88" s="11">
        <v>42262</v>
      </c>
      <c r="B88" s="6">
        <v>516</v>
      </c>
      <c r="C88"/>
      <c r="D88"/>
      <c r="E88"/>
      <c r="F88"/>
      <c r="G88"/>
      <c r="L88"/>
      <c r="N88"/>
      <c r="Q88">
        <f t="shared" si="2"/>
        <v>168</v>
      </c>
    </row>
    <row r="89" spans="1:17" s="4" customFormat="1" x14ac:dyDescent="0.25">
      <c r="A89" s="11">
        <v>42264</v>
      </c>
      <c r="B89" s="6">
        <v>576</v>
      </c>
      <c r="C89"/>
      <c r="D89"/>
      <c r="E89"/>
      <c r="F89"/>
      <c r="G89"/>
      <c r="L89"/>
      <c r="N89"/>
      <c r="Q89">
        <f t="shared" si="2"/>
        <v>187</v>
      </c>
    </row>
    <row r="90" spans="1:17" s="4" customFormat="1" x14ac:dyDescent="0.25">
      <c r="A90" s="11">
        <v>42265</v>
      </c>
      <c r="B90" s="6">
        <v>288</v>
      </c>
      <c r="C90"/>
      <c r="D90"/>
      <c r="E90"/>
      <c r="F90"/>
      <c r="G90"/>
      <c r="L90"/>
      <c r="N90"/>
      <c r="Q90">
        <f t="shared" si="2"/>
        <v>168</v>
      </c>
    </row>
    <row r="91" spans="1:17" s="4" customFormat="1" x14ac:dyDescent="0.25">
      <c r="A91" s="11">
        <v>42262</v>
      </c>
      <c r="B91" s="6">
        <v>492</v>
      </c>
      <c r="C91"/>
      <c r="D91"/>
      <c r="E91"/>
      <c r="F91"/>
      <c r="G91"/>
      <c r="L91"/>
      <c r="N91"/>
      <c r="Q91">
        <f t="shared" si="2"/>
        <v>152</v>
      </c>
    </row>
    <row r="92" spans="1:17" s="4" customFormat="1" x14ac:dyDescent="0.25">
      <c r="A92" s="11">
        <v>42262</v>
      </c>
      <c r="B92" s="6">
        <v>636</v>
      </c>
      <c r="C92"/>
      <c r="D92"/>
      <c r="E92"/>
      <c r="F92"/>
      <c r="G92"/>
      <c r="L92"/>
      <c r="N92"/>
      <c r="Q92">
        <f t="shared" si="2"/>
        <v>168</v>
      </c>
    </row>
    <row r="93" spans="1:17" s="4" customFormat="1" x14ac:dyDescent="0.25">
      <c r="A93" s="11">
        <v>42263</v>
      </c>
      <c r="B93" s="6">
        <v>348</v>
      </c>
      <c r="C93"/>
      <c r="D93"/>
      <c r="E93"/>
      <c r="F93"/>
      <c r="G93"/>
      <c r="L93"/>
      <c r="N93"/>
      <c r="Q93">
        <f t="shared" si="2"/>
        <v>187</v>
      </c>
    </row>
    <row r="94" spans="1:17" s="4" customFormat="1" x14ac:dyDescent="0.25">
      <c r="A94" s="11">
        <v>42262</v>
      </c>
      <c r="B94" s="6">
        <v>168</v>
      </c>
      <c r="C94"/>
      <c r="D94"/>
      <c r="E94"/>
      <c r="F94"/>
      <c r="G94"/>
      <c r="L94"/>
      <c r="N94"/>
      <c r="Q94">
        <f t="shared" si="2"/>
        <v>187</v>
      </c>
    </row>
    <row r="95" spans="1:17" s="4" customFormat="1" x14ac:dyDescent="0.25">
      <c r="A95" s="11">
        <v>42262</v>
      </c>
      <c r="B95" s="6">
        <v>264</v>
      </c>
      <c r="C95"/>
      <c r="D95"/>
      <c r="E95"/>
      <c r="F95"/>
      <c r="G95"/>
      <c r="L95"/>
      <c r="N95"/>
      <c r="Q95">
        <f t="shared" si="2"/>
        <v>152</v>
      </c>
    </row>
    <row r="96" spans="1:17" s="4" customFormat="1" x14ac:dyDescent="0.25">
      <c r="A96" s="11">
        <v>42265</v>
      </c>
      <c r="B96" s="6">
        <v>600</v>
      </c>
      <c r="C96"/>
      <c r="D96"/>
      <c r="E96"/>
      <c r="F96"/>
      <c r="G96"/>
      <c r="L96"/>
      <c r="N96"/>
      <c r="Q96">
        <f t="shared" si="2"/>
        <v>187</v>
      </c>
    </row>
    <row r="97" spans="1:17" s="4" customFormat="1" x14ac:dyDescent="0.25">
      <c r="A97" s="11">
        <v>42262</v>
      </c>
      <c r="B97" s="6">
        <v>216</v>
      </c>
      <c r="C97"/>
      <c r="D97"/>
      <c r="E97"/>
      <c r="F97"/>
      <c r="G97"/>
      <c r="L97"/>
      <c r="N97"/>
      <c r="Q97">
        <f t="shared" si="2"/>
        <v>152</v>
      </c>
    </row>
    <row r="98" spans="1:17" s="4" customFormat="1" x14ac:dyDescent="0.25">
      <c r="A98" s="11">
        <v>42265</v>
      </c>
      <c r="B98" s="6">
        <v>648</v>
      </c>
      <c r="C98"/>
      <c r="D98"/>
      <c r="E98"/>
      <c r="F98"/>
      <c r="G98"/>
      <c r="L98"/>
      <c r="N98"/>
      <c r="Q98">
        <f t="shared" si="2"/>
        <v>187</v>
      </c>
    </row>
    <row r="99" spans="1:17" s="4" customFormat="1" x14ac:dyDescent="0.25">
      <c r="A99" s="11">
        <v>42264</v>
      </c>
      <c r="B99" s="6">
        <v>288</v>
      </c>
      <c r="C99"/>
      <c r="D99"/>
      <c r="E99"/>
      <c r="F99"/>
      <c r="G99"/>
      <c r="L99"/>
      <c r="N99"/>
      <c r="Q99">
        <f t="shared" si="2"/>
        <v>152</v>
      </c>
    </row>
    <row r="100" spans="1:17" s="4" customFormat="1" x14ac:dyDescent="0.25">
      <c r="A100" s="11">
        <v>42263</v>
      </c>
      <c r="B100" s="6">
        <v>684</v>
      </c>
      <c r="C100"/>
      <c r="D100"/>
      <c r="E100"/>
      <c r="F100"/>
      <c r="G100"/>
      <c r="L100"/>
      <c r="N100"/>
      <c r="Q100">
        <f t="shared" si="2"/>
        <v>187</v>
      </c>
    </row>
    <row r="101" spans="1:17" s="4" customFormat="1" x14ac:dyDescent="0.25">
      <c r="A101" s="11">
        <v>42262</v>
      </c>
      <c r="B101" s="6">
        <v>168</v>
      </c>
      <c r="C101"/>
      <c r="D101"/>
      <c r="E101"/>
      <c r="F101"/>
      <c r="G101"/>
      <c r="L101"/>
      <c r="N101"/>
      <c r="Q101">
        <f t="shared" si="2"/>
        <v>152</v>
      </c>
    </row>
    <row r="102" spans="1:17" s="4" customFormat="1" x14ac:dyDescent="0.25">
      <c r="A102" s="11">
        <v>42263</v>
      </c>
      <c r="B102" s="6">
        <v>756</v>
      </c>
      <c r="C102"/>
      <c r="D102"/>
      <c r="E102"/>
      <c r="F102"/>
      <c r="G102"/>
      <c r="L102"/>
      <c r="N102"/>
      <c r="Q102">
        <f t="shared" si="2"/>
        <v>152</v>
      </c>
    </row>
    <row r="103" spans="1:17" s="4" customFormat="1" x14ac:dyDescent="0.25">
      <c r="A103" s="11">
        <v>42264</v>
      </c>
      <c r="B103" s="6">
        <v>648</v>
      </c>
      <c r="C103"/>
      <c r="D103"/>
      <c r="E103"/>
      <c r="F103"/>
      <c r="G103"/>
      <c r="L103"/>
      <c r="N103"/>
      <c r="Q103">
        <f t="shared" ref="Q103:Q134" si="3">LOOKUP(B104,$I$8:$K$11)</f>
        <v>152</v>
      </c>
    </row>
    <row r="104" spans="1:17" s="4" customFormat="1" x14ac:dyDescent="0.25">
      <c r="A104" s="11">
        <v>42262</v>
      </c>
      <c r="B104" s="6">
        <v>696</v>
      </c>
      <c r="C104"/>
      <c r="D104"/>
      <c r="E104"/>
      <c r="F104"/>
      <c r="G104"/>
      <c r="L104"/>
      <c r="N104"/>
      <c r="Q104">
        <f t="shared" si="3"/>
        <v>168</v>
      </c>
    </row>
    <row r="105" spans="1:17" s="4" customFormat="1" x14ac:dyDescent="0.25">
      <c r="A105" s="11">
        <v>42264</v>
      </c>
      <c r="B105" s="6">
        <v>456</v>
      </c>
      <c r="C105"/>
      <c r="D105"/>
      <c r="E105"/>
      <c r="F105"/>
      <c r="G105"/>
      <c r="L105"/>
      <c r="N105"/>
      <c r="Q105">
        <f t="shared" si="3"/>
        <v>152</v>
      </c>
    </row>
    <row r="106" spans="1:17" s="4" customFormat="1" x14ac:dyDescent="0.25">
      <c r="A106" s="11">
        <v>42263</v>
      </c>
      <c r="B106" s="6">
        <v>696</v>
      </c>
      <c r="C106"/>
      <c r="D106"/>
      <c r="E106"/>
      <c r="F106"/>
      <c r="G106"/>
      <c r="L106"/>
      <c r="N106"/>
      <c r="Q106">
        <f t="shared" si="3"/>
        <v>187</v>
      </c>
    </row>
    <row r="107" spans="1:17" s="4" customFormat="1" x14ac:dyDescent="0.25">
      <c r="A107" s="11">
        <v>42264</v>
      </c>
      <c r="B107" s="6">
        <v>252</v>
      </c>
      <c r="C107"/>
      <c r="D107"/>
      <c r="E107"/>
      <c r="F107"/>
      <c r="G107"/>
      <c r="L107"/>
      <c r="N107"/>
      <c r="Q107">
        <f t="shared" si="3"/>
        <v>152</v>
      </c>
    </row>
    <row r="108" spans="1:17" s="4" customFormat="1" x14ac:dyDescent="0.25">
      <c r="A108" s="11">
        <v>42263</v>
      </c>
      <c r="B108" s="6">
        <v>732</v>
      </c>
      <c r="C108"/>
      <c r="D108"/>
      <c r="E108"/>
      <c r="F108"/>
      <c r="G108"/>
      <c r="L108"/>
      <c r="N108"/>
      <c r="Q108">
        <f t="shared" si="3"/>
        <v>198</v>
      </c>
    </row>
    <row r="109" spans="1:17" s="4" customFormat="1" x14ac:dyDescent="0.25">
      <c r="A109" s="11">
        <v>42265</v>
      </c>
      <c r="B109" s="6">
        <v>132</v>
      </c>
      <c r="C109"/>
      <c r="D109"/>
      <c r="E109"/>
      <c r="F109"/>
      <c r="G109"/>
      <c r="L109"/>
      <c r="N109"/>
      <c r="Q109">
        <f t="shared" si="3"/>
        <v>152</v>
      </c>
    </row>
    <row r="110" spans="1:17" s="4" customFormat="1" x14ac:dyDescent="0.25">
      <c r="A110" s="11">
        <v>42264</v>
      </c>
      <c r="B110" s="6">
        <v>744</v>
      </c>
      <c r="C110"/>
      <c r="D110"/>
      <c r="E110"/>
      <c r="F110"/>
      <c r="G110"/>
      <c r="L110"/>
      <c r="N110"/>
      <c r="Q110">
        <f t="shared" si="3"/>
        <v>152</v>
      </c>
    </row>
    <row r="111" spans="1:17" s="4" customFormat="1" x14ac:dyDescent="0.25">
      <c r="A111" s="11">
        <v>42265</v>
      </c>
      <c r="B111" s="6">
        <v>732</v>
      </c>
      <c r="C111"/>
      <c r="D111"/>
      <c r="E111"/>
      <c r="F111"/>
      <c r="G111"/>
      <c r="L111"/>
      <c r="N111"/>
      <c r="Q111">
        <f t="shared" si="3"/>
        <v>168</v>
      </c>
    </row>
    <row r="112" spans="1:17" s="4" customFormat="1" x14ac:dyDescent="0.25">
      <c r="A112" s="11">
        <v>42264</v>
      </c>
      <c r="B112" s="6">
        <v>312</v>
      </c>
      <c r="C112"/>
      <c r="D112"/>
      <c r="E112"/>
      <c r="F112"/>
      <c r="G112"/>
      <c r="L112"/>
      <c r="N112"/>
      <c r="Q112">
        <f t="shared" si="3"/>
        <v>187</v>
      </c>
    </row>
    <row r="113" spans="1:17" s="4" customFormat="1" x14ac:dyDescent="0.25">
      <c r="A113" s="11">
        <v>42265</v>
      </c>
      <c r="B113" s="6">
        <v>288</v>
      </c>
      <c r="C113"/>
      <c r="D113"/>
      <c r="E113"/>
      <c r="F113"/>
      <c r="G113"/>
      <c r="L113"/>
      <c r="N113"/>
      <c r="Q113">
        <f t="shared" si="3"/>
        <v>198</v>
      </c>
    </row>
    <row r="114" spans="1:17" s="4" customFormat="1" x14ac:dyDescent="0.25">
      <c r="A114" s="11">
        <v>42264</v>
      </c>
      <c r="B114" s="6">
        <v>108</v>
      </c>
      <c r="C114"/>
      <c r="D114"/>
      <c r="E114"/>
      <c r="F114"/>
      <c r="G114"/>
      <c r="L114"/>
      <c r="N114"/>
      <c r="Q114">
        <f t="shared" si="3"/>
        <v>168</v>
      </c>
    </row>
    <row r="115" spans="1:17" s="4" customFormat="1" x14ac:dyDescent="0.25">
      <c r="A115" s="11">
        <v>42265</v>
      </c>
      <c r="B115" s="6">
        <v>540</v>
      </c>
      <c r="C115"/>
      <c r="D115"/>
      <c r="E115"/>
      <c r="F115"/>
      <c r="G115"/>
      <c r="L115"/>
      <c r="N115"/>
      <c r="Q115">
        <f t="shared" si="3"/>
        <v>152</v>
      </c>
    </row>
    <row r="116" spans="1:17" s="4" customFormat="1" x14ac:dyDescent="0.25">
      <c r="A116" s="11">
        <v>42262</v>
      </c>
      <c r="B116" s="6">
        <v>648</v>
      </c>
      <c r="C116"/>
      <c r="D116"/>
      <c r="E116"/>
      <c r="F116"/>
      <c r="G116"/>
      <c r="L116"/>
      <c r="N116"/>
      <c r="Q116">
        <f t="shared" si="3"/>
        <v>187</v>
      </c>
    </row>
    <row r="117" spans="1:17" s="4" customFormat="1" x14ac:dyDescent="0.25">
      <c r="A117" s="11">
        <v>42263</v>
      </c>
      <c r="B117" s="6">
        <v>156</v>
      </c>
      <c r="C117"/>
      <c r="D117"/>
      <c r="E117"/>
      <c r="F117"/>
      <c r="G117"/>
      <c r="L117"/>
      <c r="N117"/>
      <c r="Q117">
        <f t="shared" si="3"/>
        <v>198</v>
      </c>
    </row>
    <row r="118" spans="1:17" s="4" customFormat="1" x14ac:dyDescent="0.25">
      <c r="A118" s="11">
        <v>42265</v>
      </c>
      <c r="B118" s="6">
        <v>12</v>
      </c>
      <c r="C118"/>
      <c r="D118"/>
      <c r="E118"/>
      <c r="F118"/>
      <c r="G118"/>
      <c r="L118"/>
      <c r="N118"/>
      <c r="Q118">
        <f t="shared" si="3"/>
        <v>187</v>
      </c>
    </row>
    <row r="119" spans="1:17" s="4" customFormat="1" x14ac:dyDescent="0.25">
      <c r="A119" s="11">
        <v>42263</v>
      </c>
      <c r="B119" s="6">
        <v>216</v>
      </c>
      <c r="C119"/>
      <c r="D119"/>
      <c r="E119"/>
      <c r="F119"/>
      <c r="G119"/>
      <c r="L119"/>
      <c r="N119"/>
      <c r="Q119">
        <f t="shared" si="3"/>
        <v>152</v>
      </c>
    </row>
    <row r="120" spans="1:17" s="4" customFormat="1" x14ac:dyDescent="0.25">
      <c r="A120" s="11">
        <v>42262</v>
      </c>
      <c r="B120" s="6">
        <v>660</v>
      </c>
      <c r="C120"/>
      <c r="D120"/>
      <c r="E120"/>
      <c r="F120"/>
      <c r="G120"/>
      <c r="L120"/>
      <c r="N120"/>
      <c r="Q120">
        <f t="shared" si="3"/>
        <v>187</v>
      </c>
    </row>
    <row r="121" spans="1:17" s="4" customFormat="1" x14ac:dyDescent="0.25">
      <c r="A121" s="11">
        <v>42265</v>
      </c>
      <c r="B121" s="6">
        <v>168</v>
      </c>
      <c r="C121"/>
      <c r="D121"/>
      <c r="E121"/>
      <c r="F121"/>
      <c r="G121"/>
      <c r="L121"/>
      <c r="N121"/>
      <c r="Q121">
        <f t="shared" si="3"/>
        <v>152</v>
      </c>
    </row>
    <row r="122" spans="1:17" s="4" customFormat="1" x14ac:dyDescent="0.25">
      <c r="A122" s="11">
        <v>42264</v>
      </c>
      <c r="B122" s="6">
        <v>624</v>
      </c>
      <c r="C122"/>
      <c r="D122"/>
      <c r="E122"/>
      <c r="F122"/>
      <c r="G122"/>
      <c r="L122"/>
      <c r="N122"/>
      <c r="Q122">
        <f t="shared" si="3"/>
        <v>198</v>
      </c>
    </row>
    <row r="123" spans="1:17" s="4" customFormat="1" x14ac:dyDescent="0.25">
      <c r="A123" s="11">
        <v>42262</v>
      </c>
      <c r="B123" s="6">
        <v>72</v>
      </c>
      <c r="C123"/>
      <c r="D123"/>
      <c r="E123"/>
      <c r="F123"/>
      <c r="G123"/>
      <c r="L123"/>
      <c r="N123"/>
      <c r="Q123">
        <f t="shared" si="3"/>
        <v>168</v>
      </c>
    </row>
    <row r="124" spans="1:17" s="4" customFormat="1" x14ac:dyDescent="0.25">
      <c r="A124" s="11">
        <v>42263</v>
      </c>
      <c r="B124" s="6">
        <v>444</v>
      </c>
      <c r="C124"/>
      <c r="D124"/>
      <c r="E124"/>
      <c r="F124"/>
      <c r="G124"/>
      <c r="L124"/>
      <c r="N124"/>
      <c r="Q124">
        <f t="shared" si="3"/>
        <v>187</v>
      </c>
    </row>
    <row r="125" spans="1:17" s="4" customFormat="1" x14ac:dyDescent="0.25">
      <c r="A125" s="11">
        <v>42264</v>
      </c>
      <c r="B125" s="6">
        <v>204</v>
      </c>
      <c r="C125"/>
      <c r="D125"/>
      <c r="E125"/>
      <c r="F125"/>
      <c r="G125"/>
      <c r="L125"/>
      <c r="N125"/>
      <c r="Q125">
        <f t="shared" si="3"/>
        <v>168</v>
      </c>
    </row>
    <row r="126" spans="1:17" s="4" customFormat="1" x14ac:dyDescent="0.25">
      <c r="A126" s="11">
        <v>42264</v>
      </c>
      <c r="B126" s="6">
        <v>576</v>
      </c>
      <c r="C126"/>
      <c r="D126"/>
      <c r="E126"/>
      <c r="F126"/>
      <c r="G126"/>
      <c r="L126"/>
      <c r="N126"/>
      <c r="Q126">
        <f t="shared" si="3"/>
        <v>198</v>
      </c>
    </row>
    <row r="127" spans="1:17" s="4" customFormat="1" x14ac:dyDescent="0.25">
      <c r="A127" s="11">
        <v>42265</v>
      </c>
      <c r="B127" s="6">
        <v>84</v>
      </c>
      <c r="C127"/>
      <c r="D127"/>
      <c r="E127"/>
      <c r="F127"/>
      <c r="G127"/>
      <c r="L127"/>
      <c r="N127"/>
      <c r="Q127">
        <f t="shared" si="3"/>
        <v>198</v>
      </c>
    </row>
    <row r="128" spans="1:17" s="4" customFormat="1" x14ac:dyDescent="0.25">
      <c r="A128" s="11">
        <v>42265</v>
      </c>
      <c r="B128" s="6">
        <v>108</v>
      </c>
      <c r="C128"/>
      <c r="D128"/>
      <c r="E128"/>
      <c r="F128"/>
      <c r="G128"/>
      <c r="L128"/>
      <c r="N128"/>
      <c r="Q128">
        <f t="shared" si="3"/>
        <v>187</v>
      </c>
    </row>
    <row r="129" spans="1:17" s="4" customFormat="1" x14ac:dyDescent="0.25">
      <c r="A129" s="11">
        <v>42263</v>
      </c>
      <c r="B129" s="6">
        <v>228</v>
      </c>
      <c r="C129"/>
      <c r="D129"/>
      <c r="E129"/>
      <c r="F129"/>
      <c r="G129"/>
      <c r="L129"/>
      <c r="N129"/>
      <c r="Q129">
        <f t="shared" si="3"/>
        <v>168</v>
      </c>
    </row>
    <row r="130" spans="1:17" s="4" customFormat="1" x14ac:dyDescent="0.25">
      <c r="A130" s="11">
        <v>42262</v>
      </c>
      <c r="B130" s="6">
        <v>408</v>
      </c>
      <c r="C130"/>
      <c r="D130"/>
      <c r="E130"/>
      <c r="F130"/>
      <c r="G130"/>
      <c r="L130"/>
      <c r="N130"/>
      <c r="Q130">
        <f t="shared" si="3"/>
        <v>168</v>
      </c>
    </row>
    <row r="131" spans="1:17" s="4" customFormat="1" x14ac:dyDescent="0.25">
      <c r="A131" s="11">
        <v>42263</v>
      </c>
      <c r="B131" s="6">
        <v>516</v>
      </c>
      <c r="C131"/>
      <c r="D131"/>
      <c r="E131"/>
      <c r="F131"/>
      <c r="G131"/>
      <c r="L131"/>
      <c r="N131"/>
      <c r="Q131">
        <f t="shared" si="3"/>
        <v>152</v>
      </c>
    </row>
    <row r="132" spans="1:17" s="4" customFormat="1" x14ac:dyDescent="0.25">
      <c r="A132" s="11">
        <v>42263</v>
      </c>
      <c r="B132" s="6">
        <v>804</v>
      </c>
      <c r="C132"/>
      <c r="D132"/>
      <c r="E132"/>
      <c r="F132"/>
      <c r="G132"/>
      <c r="L132"/>
      <c r="N132"/>
      <c r="Q132">
        <f t="shared" si="3"/>
        <v>152</v>
      </c>
    </row>
    <row r="133" spans="1:17" s="4" customFormat="1" x14ac:dyDescent="0.25">
      <c r="A133" s="11">
        <v>42265</v>
      </c>
      <c r="B133" s="6">
        <v>696</v>
      </c>
      <c r="C133"/>
      <c r="D133"/>
      <c r="E133"/>
      <c r="F133"/>
      <c r="G133"/>
      <c r="L133"/>
      <c r="N133"/>
      <c r="Q133">
        <f t="shared" si="3"/>
        <v>187</v>
      </c>
    </row>
    <row r="134" spans="1:17" s="4" customFormat="1" x14ac:dyDescent="0.25">
      <c r="A134" s="11">
        <v>42263</v>
      </c>
      <c r="B134" s="6">
        <v>264</v>
      </c>
      <c r="C134"/>
      <c r="D134"/>
      <c r="E134"/>
      <c r="F134"/>
      <c r="G134"/>
      <c r="L134"/>
      <c r="N134"/>
      <c r="Q134">
        <f t="shared" si="3"/>
        <v>168</v>
      </c>
    </row>
    <row r="135" spans="1:17" s="4" customFormat="1" x14ac:dyDescent="0.25">
      <c r="A135" s="11">
        <v>42262</v>
      </c>
      <c r="B135" s="6">
        <v>396</v>
      </c>
      <c r="C135"/>
      <c r="D135"/>
      <c r="E135"/>
      <c r="F135"/>
      <c r="G135"/>
      <c r="L135"/>
      <c r="N135"/>
      <c r="Q135">
        <f t="shared" ref="Q135:Q166" si="4">LOOKUP(B136,$I$8:$K$11)</f>
        <v>152</v>
      </c>
    </row>
    <row r="136" spans="1:17" s="4" customFormat="1" x14ac:dyDescent="0.25">
      <c r="A136" s="11">
        <v>42262</v>
      </c>
      <c r="B136" s="6">
        <v>780</v>
      </c>
      <c r="C136"/>
      <c r="D136"/>
      <c r="E136"/>
      <c r="F136"/>
      <c r="G136"/>
      <c r="L136"/>
      <c r="N136"/>
      <c r="Q136">
        <f t="shared" si="4"/>
        <v>198</v>
      </c>
    </row>
    <row r="137" spans="1:17" s="4" customFormat="1" x14ac:dyDescent="0.25">
      <c r="A137" s="11">
        <v>42264</v>
      </c>
      <c r="B137" s="6">
        <v>12</v>
      </c>
      <c r="C137"/>
      <c r="D137"/>
      <c r="E137"/>
      <c r="F137"/>
      <c r="G137"/>
      <c r="L137"/>
      <c r="N137"/>
      <c r="Q137">
        <f t="shared" si="4"/>
        <v>168</v>
      </c>
    </row>
    <row r="138" spans="1:17" s="4" customFormat="1" x14ac:dyDescent="0.25">
      <c r="A138" s="11">
        <v>42263</v>
      </c>
      <c r="B138" s="6">
        <v>432</v>
      </c>
      <c r="C138"/>
      <c r="D138"/>
      <c r="E138"/>
      <c r="F138"/>
      <c r="G138"/>
      <c r="L138"/>
      <c r="N138"/>
      <c r="Q138">
        <f t="shared" si="4"/>
        <v>187</v>
      </c>
    </row>
    <row r="139" spans="1:17" s="4" customFormat="1" x14ac:dyDescent="0.25">
      <c r="A139" s="11">
        <v>42262</v>
      </c>
      <c r="B139" s="6">
        <v>216</v>
      </c>
      <c r="C139"/>
      <c r="D139"/>
      <c r="E139"/>
      <c r="F139"/>
      <c r="G139"/>
      <c r="L139"/>
      <c r="N139"/>
      <c r="Q139">
        <f t="shared" si="4"/>
        <v>152</v>
      </c>
    </row>
    <row r="140" spans="1:17" s="4" customFormat="1" x14ac:dyDescent="0.25">
      <c r="A140" s="11">
        <v>42265</v>
      </c>
      <c r="B140" s="6">
        <v>768</v>
      </c>
      <c r="C140"/>
      <c r="D140"/>
      <c r="E140"/>
      <c r="F140"/>
      <c r="G140"/>
      <c r="L140"/>
      <c r="N140"/>
      <c r="Q140">
        <f t="shared" si="4"/>
        <v>187</v>
      </c>
    </row>
    <row r="141" spans="1:17" s="4" customFormat="1" x14ac:dyDescent="0.25">
      <c r="A141" s="11">
        <v>42262</v>
      </c>
      <c r="B141" s="6">
        <v>204</v>
      </c>
      <c r="C141"/>
      <c r="D141"/>
      <c r="E141"/>
      <c r="F141"/>
      <c r="G141"/>
      <c r="L141"/>
      <c r="N141"/>
      <c r="Q141">
        <f t="shared" si="4"/>
        <v>168</v>
      </c>
    </row>
    <row r="142" spans="1:17" s="4" customFormat="1" x14ac:dyDescent="0.25">
      <c r="A142" s="11">
        <v>42263</v>
      </c>
      <c r="B142" s="6">
        <v>540</v>
      </c>
      <c r="C142"/>
      <c r="D142"/>
      <c r="E142"/>
      <c r="F142"/>
      <c r="G142"/>
      <c r="L142"/>
      <c r="N142"/>
      <c r="Q142">
        <f t="shared" si="4"/>
        <v>168</v>
      </c>
    </row>
    <row r="143" spans="1:17" s="4" customFormat="1" x14ac:dyDescent="0.25">
      <c r="A143" s="11">
        <v>42264</v>
      </c>
      <c r="B143" s="6">
        <v>300</v>
      </c>
      <c r="C143"/>
      <c r="D143"/>
      <c r="E143"/>
      <c r="F143"/>
      <c r="G143"/>
      <c r="L143"/>
      <c r="N143"/>
      <c r="Q143">
        <f t="shared" si="4"/>
        <v>152</v>
      </c>
    </row>
    <row r="144" spans="1:17" s="4" customFormat="1" x14ac:dyDescent="0.25">
      <c r="A144" s="11">
        <v>42262</v>
      </c>
      <c r="B144" s="6">
        <v>804</v>
      </c>
      <c r="C144"/>
      <c r="D144"/>
      <c r="E144"/>
      <c r="F144"/>
      <c r="G144"/>
      <c r="L144"/>
      <c r="N144"/>
      <c r="Q144">
        <f t="shared" si="4"/>
        <v>198</v>
      </c>
    </row>
    <row r="145" spans="1:17" s="4" customFormat="1" x14ac:dyDescent="0.25">
      <c r="A145" s="11">
        <v>42263</v>
      </c>
      <c r="B145" s="6">
        <v>132</v>
      </c>
      <c r="C145"/>
      <c r="D145"/>
      <c r="E145"/>
      <c r="F145"/>
      <c r="G145"/>
      <c r="L145"/>
      <c r="N145"/>
      <c r="Q145">
        <f t="shared" si="4"/>
        <v>152</v>
      </c>
    </row>
    <row r="146" spans="1:17" s="4" customFormat="1" x14ac:dyDescent="0.25">
      <c r="A146" s="11">
        <v>42264</v>
      </c>
      <c r="B146" s="6">
        <v>804</v>
      </c>
      <c r="C146"/>
      <c r="D146"/>
      <c r="E146"/>
      <c r="F146"/>
      <c r="G146"/>
      <c r="L146"/>
      <c r="N146"/>
      <c r="Q146">
        <f t="shared" si="4"/>
        <v>187</v>
      </c>
    </row>
    <row r="147" spans="1:17" s="4" customFormat="1" x14ac:dyDescent="0.25">
      <c r="A147" s="11">
        <v>42264</v>
      </c>
      <c r="B147" s="6">
        <v>168</v>
      </c>
      <c r="C147"/>
      <c r="D147"/>
      <c r="E147"/>
      <c r="F147"/>
      <c r="G147"/>
      <c r="L147"/>
      <c r="N147"/>
      <c r="Q147">
        <f t="shared" si="4"/>
        <v>198</v>
      </c>
    </row>
    <row r="148" spans="1:17" s="4" customFormat="1" x14ac:dyDescent="0.25">
      <c r="A148" s="11">
        <v>42262</v>
      </c>
      <c r="B148" s="6">
        <v>96</v>
      </c>
      <c r="C148"/>
      <c r="D148"/>
      <c r="E148"/>
      <c r="F148"/>
      <c r="G148"/>
      <c r="L148"/>
      <c r="N148"/>
      <c r="Q148">
        <f t="shared" si="4"/>
        <v>152</v>
      </c>
    </row>
    <row r="149" spans="1:17" s="4" customFormat="1" x14ac:dyDescent="0.25">
      <c r="A149" s="11">
        <v>42264</v>
      </c>
      <c r="B149" s="6">
        <v>588</v>
      </c>
      <c r="C149"/>
      <c r="D149"/>
      <c r="E149"/>
      <c r="F149"/>
      <c r="G149"/>
      <c r="L149"/>
      <c r="N149"/>
      <c r="Q149">
        <f t="shared" si="4"/>
        <v>168</v>
      </c>
    </row>
    <row r="150" spans="1:17" s="4" customFormat="1" x14ac:dyDescent="0.25">
      <c r="A150" s="11">
        <v>42262</v>
      </c>
      <c r="B150" s="6">
        <v>384</v>
      </c>
      <c r="C150"/>
      <c r="D150"/>
      <c r="E150"/>
      <c r="F150"/>
      <c r="G150"/>
      <c r="L150"/>
      <c r="N150"/>
      <c r="Q150">
        <f t="shared" si="4"/>
        <v>168</v>
      </c>
    </row>
    <row r="151" spans="1:17" s="4" customFormat="1" x14ac:dyDescent="0.25">
      <c r="A151" s="11">
        <v>42264</v>
      </c>
      <c r="B151" s="6">
        <v>456</v>
      </c>
      <c r="C151"/>
      <c r="D151"/>
      <c r="E151"/>
      <c r="F151"/>
      <c r="G151"/>
      <c r="L151"/>
      <c r="N151"/>
      <c r="Q151">
        <f t="shared" si="4"/>
        <v>198</v>
      </c>
    </row>
    <row r="152" spans="1:17" s="4" customFormat="1" x14ac:dyDescent="0.25">
      <c r="A152" s="11">
        <v>42264</v>
      </c>
      <c r="B152" s="6">
        <v>24</v>
      </c>
      <c r="C152"/>
      <c r="D152"/>
      <c r="E152"/>
      <c r="F152"/>
      <c r="G152"/>
      <c r="L152"/>
      <c r="N152"/>
      <c r="Q152">
        <f t="shared" si="4"/>
        <v>152</v>
      </c>
    </row>
    <row r="153" spans="1:17" s="4" customFormat="1" x14ac:dyDescent="0.25">
      <c r="A153" s="11">
        <v>42265</v>
      </c>
      <c r="B153" s="6">
        <v>684</v>
      </c>
      <c r="C153"/>
      <c r="D153"/>
      <c r="E153"/>
      <c r="F153"/>
      <c r="G153"/>
      <c r="L153"/>
      <c r="N153"/>
      <c r="Q153">
        <f t="shared" si="4"/>
        <v>168</v>
      </c>
    </row>
    <row r="154" spans="1:17" s="4" customFormat="1" x14ac:dyDescent="0.25">
      <c r="A154" s="11">
        <v>42264</v>
      </c>
      <c r="B154" s="6">
        <v>384</v>
      </c>
      <c r="C154"/>
      <c r="D154"/>
      <c r="E154"/>
      <c r="F154"/>
      <c r="G154"/>
      <c r="L154"/>
      <c r="N154"/>
      <c r="Q154">
        <f t="shared" si="4"/>
        <v>187</v>
      </c>
    </row>
    <row r="155" spans="1:17" s="4" customFormat="1" x14ac:dyDescent="0.25">
      <c r="A155" s="11">
        <v>42262</v>
      </c>
      <c r="B155" s="6">
        <v>192</v>
      </c>
      <c r="C155"/>
      <c r="D155"/>
      <c r="E155"/>
      <c r="F155"/>
      <c r="G155"/>
      <c r="L155"/>
      <c r="N155"/>
      <c r="Q155">
        <f t="shared" si="4"/>
        <v>168</v>
      </c>
    </row>
    <row r="156" spans="1:17" s="4" customFormat="1" x14ac:dyDescent="0.25">
      <c r="A156" s="11">
        <v>42263</v>
      </c>
      <c r="B156" s="6">
        <v>300</v>
      </c>
      <c r="C156"/>
      <c r="D156"/>
      <c r="E156"/>
      <c r="F156"/>
      <c r="G156"/>
      <c r="L156"/>
      <c r="N156"/>
      <c r="Q156">
        <f t="shared" si="4"/>
        <v>152</v>
      </c>
    </row>
    <row r="157" spans="1:17" s="4" customFormat="1" x14ac:dyDescent="0.25">
      <c r="A157" s="11">
        <v>42265</v>
      </c>
      <c r="B157" s="6">
        <v>684</v>
      </c>
      <c r="C157"/>
      <c r="D157"/>
      <c r="E157"/>
      <c r="F157"/>
      <c r="G157"/>
      <c r="L157"/>
      <c r="N157"/>
      <c r="Q157">
        <f t="shared" si="4"/>
        <v>187</v>
      </c>
    </row>
    <row r="158" spans="1:17" s="4" customFormat="1" x14ac:dyDescent="0.25">
      <c r="A158" s="11">
        <v>42263</v>
      </c>
      <c r="B158" s="6">
        <v>288</v>
      </c>
      <c r="C158"/>
      <c r="D158"/>
      <c r="E158"/>
      <c r="F158"/>
      <c r="G158"/>
      <c r="L158"/>
      <c r="N158"/>
      <c r="Q158">
        <f t="shared" si="4"/>
        <v>168</v>
      </c>
    </row>
    <row r="159" spans="1:17" s="4" customFormat="1" x14ac:dyDescent="0.25">
      <c r="A159" s="11">
        <v>42265</v>
      </c>
      <c r="B159" s="6">
        <v>432</v>
      </c>
      <c r="C159"/>
      <c r="D159"/>
      <c r="E159"/>
      <c r="F159"/>
      <c r="G159"/>
      <c r="L159"/>
      <c r="N159"/>
      <c r="Q159">
        <f t="shared" si="4"/>
        <v>152</v>
      </c>
    </row>
    <row r="160" spans="1:17" s="4" customFormat="1" x14ac:dyDescent="0.25">
      <c r="A160" s="11">
        <v>42263</v>
      </c>
      <c r="B160" s="6">
        <v>648</v>
      </c>
      <c r="C160"/>
      <c r="D160"/>
      <c r="E160"/>
      <c r="F160"/>
      <c r="G160"/>
      <c r="L160"/>
      <c r="N160"/>
      <c r="Q160">
        <f t="shared" si="4"/>
        <v>168</v>
      </c>
    </row>
    <row r="161" spans="1:17" s="4" customFormat="1" x14ac:dyDescent="0.25">
      <c r="A161" s="11">
        <v>42263</v>
      </c>
      <c r="B161" s="6">
        <v>324</v>
      </c>
      <c r="C161"/>
      <c r="D161"/>
      <c r="E161"/>
      <c r="F161"/>
      <c r="G161"/>
      <c r="L161"/>
      <c r="N161"/>
      <c r="Q161">
        <f t="shared" si="4"/>
        <v>198</v>
      </c>
    </row>
    <row r="162" spans="1:17" s="4" customFormat="1" x14ac:dyDescent="0.25">
      <c r="A162" s="11">
        <v>42263</v>
      </c>
      <c r="B162" s="6">
        <v>24</v>
      </c>
      <c r="C162"/>
      <c r="D162"/>
      <c r="E162"/>
      <c r="F162"/>
      <c r="G162"/>
      <c r="L162"/>
      <c r="N162"/>
      <c r="Q162">
        <f t="shared" si="4"/>
        <v>168</v>
      </c>
    </row>
    <row r="163" spans="1:17" s="4" customFormat="1" x14ac:dyDescent="0.25">
      <c r="A163" s="11">
        <v>42262</v>
      </c>
      <c r="B163" s="6">
        <v>552</v>
      </c>
      <c r="C163"/>
      <c r="D163"/>
      <c r="E163"/>
      <c r="F163"/>
      <c r="G163"/>
      <c r="L163"/>
      <c r="N163"/>
      <c r="Q163">
        <f t="shared" si="4"/>
        <v>187</v>
      </c>
    </row>
    <row r="164" spans="1:17" s="4" customFormat="1" x14ac:dyDescent="0.25">
      <c r="A164" s="11">
        <v>42264</v>
      </c>
      <c r="B164" s="6">
        <v>168</v>
      </c>
      <c r="C164"/>
      <c r="D164"/>
      <c r="E164"/>
      <c r="F164"/>
      <c r="G164"/>
      <c r="L164"/>
      <c r="N164"/>
      <c r="Q164">
        <f t="shared" si="4"/>
        <v>152</v>
      </c>
    </row>
    <row r="165" spans="1:17" s="4" customFormat="1" x14ac:dyDescent="0.25">
      <c r="A165" s="11">
        <v>42264</v>
      </c>
      <c r="B165" s="6">
        <v>744</v>
      </c>
      <c r="C165"/>
      <c r="D165"/>
      <c r="E165"/>
      <c r="F165"/>
      <c r="G165"/>
      <c r="L165"/>
      <c r="N165"/>
      <c r="Q165">
        <f t="shared" si="4"/>
        <v>187</v>
      </c>
    </row>
    <row r="166" spans="1:17" s="4" customFormat="1" x14ac:dyDescent="0.25">
      <c r="A166" s="11">
        <v>42264</v>
      </c>
      <c r="B166" s="6">
        <v>228</v>
      </c>
      <c r="C166"/>
      <c r="D166"/>
      <c r="E166"/>
      <c r="F166"/>
      <c r="G166"/>
      <c r="L166"/>
      <c r="N166"/>
      <c r="Q166">
        <f t="shared" si="4"/>
        <v>152</v>
      </c>
    </row>
    <row r="167" spans="1:17" s="4" customFormat="1" x14ac:dyDescent="0.25">
      <c r="A167" s="11">
        <v>42263</v>
      </c>
      <c r="B167" s="6">
        <v>636</v>
      </c>
      <c r="C167"/>
      <c r="D167"/>
      <c r="E167"/>
      <c r="F167"/>
      <c r="G167"/>
      <c r="L167"/>
      <c r="N167"/>
      <c r="Q167">
        <f t="shared" ref="Q167:Q178" si="5">LOOKUP(B168,$I$8:$K$11)</f>
        <v>168</v>
      </c>
    </row>
    <row r="168" spans="1:17" s="4" customFormat="1" x14ac:dyDescent="0.25">
      <c r="A168" s="11">
        <v>42263</v>
      </c>
      <c r="B168" s="6">
        <v>312</v>
      </c>
      <c r="C168"/>
      <c r="D168"/>
      <c r="E168"/>
      <c r="F168"/>
      <c r="G168"/>
      <c r="L168"/>
      <c r="N168"/>
      <c r="Q168">
        <f t="shared" si="5"/>
        <v>198</v>
      </c>
    </row>
    <row r="169" spans="1:17" s="4" customFormat="1" x14ac:dyDescent="0.25">
      <c r="A169" s="11">
        <v>42263</v>
      </c>
      <c r="B169" s="6">
        <v>36</v>
      </c>
      <c r="C169"/>
      <c r="D169"/>
      <c r="E169"/>
      <c r="F169"/>
      <c r="G169"/>
      <c r="L169"/>
      <c r="N169"/>
      <c r="Q169">
        <f t="shared" si="5"/>
        <v>168</v>
      </c>
    </row>
    <row r="170" spans="1:17" s="4" customFormat="1" x14ac:dyDescent="0.25">
      <c r="A170" s="11">
        <v>42264</v>
      </c>
      <c r="B170" s="6">
        <v>492</v>
      </c>
      <c r="C170"/>
      <c r="D170"/>
      <c r="E170"/>
      <c r="F170"/>
      <c r="G170"/>
      <c r="L170"/>
      <c r="N170"/>
      <c r="Q170">
        <f t="shared" si="5"/>
        <v>152</v>
      </c>
    </row>
    <row r="171" spans="1:17" s="4" customFormat="1" x14ac:dyDescent="0.25">
      <c r="A171" s="11">
        <v>42264</v>
      </c>
      <c r="B171" s="6">
        <v>660</v>
      </c>
      <c r="C171"/>
      <c r="D171"/>
      <c r="E171"/>
      <c r="F171"/>
      <c r="G171"/>
      <c r="L171"/>
      <c r="N171"/>
      <c r="Q171">
        <f t="shared" si="5"/>
        <v>152</v>
      </c>
    </row>
    <row r="172" spans="1:17" s="4" customFormat="1" x14ac:dyDescent="0.25">
      <c r="A172" s="11">
        <v>42262</v>
      </c>
      <c r="B172" s="6">
        <v>756</v>
      </c>
      <c r="C172"/>
      <c r="D172"/>
      <c r="E172"/>
      <c r="F172"/>
      <c r="G172"/>
      <c r="L172"/>
      <c r="N172"/>
      <c r="Q172">
        <f t="shared" si="5"/>
        <v>187</v>
      </c>
    </row>
    <row r="173" spans="1:17" s="4" customFormat="1" x14ac:dyDescent="0.25">
      <c r="A173" s="11">
        <v>42265</v>
      </c>
      <c r="B173" s="6">
        <v>288</v>
      </c>
      <c r="C173"/>
      <c r="D173"/>
      <c r="E173"/>
      <c r="F173"/>
      <c r="G173"/>
      <c r="L173"/>
      <c r="N173"/>
      <c r="Q173">
        <f t="shared" si="5"/>
        <v>168</v>
      </c>
    </row>
    <row r="174" spans="1:17" s="4" customFormat="1" x14ac:dyDescent="0.25">
      <c r="A174" s="11">
        <v>42265</v>
      </c>
      <c r="B174" s="6">
        <v>408</v>
      </c>
      <c r="C174"/>
      <c r="D174"/>
      <c r="E174"/>
      <c r="F174"/>
      <c r="G174"/>
      <c r="L174"/>
      <c r="N174"/>
      <c r="Q174">
        <f t="shared" si="5"/>
        <v>168</v>
      </c>
    </row>
    <row r="175" spans="1:17" s="4" customFormat="1" x14ac:dyDescent="0.25">
      <c r="A175" s="11">
        <v>42263</v>
      </c>
      <c r="B175" s="6">
        <v>384</v>
      </c>
      <c r="C175"/>
      <c r="D175"/>
      <c r="E175"/>
      <c r="F175"/>
      <c r="G175"/>
      <c r="L175"/>
      <c r="N175"/>
      <c r="Q175">
        <f t="shared" si="5"/>
        <v>152</v>
      </c>
    </row>
    <row r="176" spans="1:17" s="4" customFormat="1" x14ac:dyDescent="0.25">
      <c r="A176" s="11">
        <v>42265</v>
      </c>
      <c r="B176" s="6">
        <v>612</v>
      </c>
      <c r="C176"/>
      <c r="D176"/>
      <c r="E176"/>
      <c r="F176"/>
      <c r="G176"/>
      <c r="L176"/>
      <c r="N176"/>
      <c r="Q176">
        <f t="shared" si="5"/>
        <v>152</v>
      </c>
    </row>
    <row r="177" spans="1:17" s="4" customFormat="1" x14ac:dyDescent="0.25">
      <c r="A177" s="11">
        <v>42262</v>
      </c>
      <c r="B177" s="6">
        <v>600</v>
      </c>
      <c r="C177"/>
      <c r="D177"/>
      <c r="E177"/>
      <c r="F177"/>
      <c r="G177"/>
      <c r="L177"/>
      <c r="N177"/>
      <c r="Q177">
        <f t="shared" si="5"/>
        <v>168</v>
      </c>
    </row>
    <row r="178" spans="1:17" s="4" customFormat="1" x14ac:dyDescent="0.25">
      <c r="A178" s="11">
        <v>42264</v>
      </c>
      <c r="B178" s="6">
        <v>432</v>
      </c>
      <c r="C178"/>
      <c r="D178"/>
      <c r="E178"/>
      <c r="F178"/>
      <c r="G178"/>
      <c r="L178"/>
      <c r="N178"/>
      <c r="Q178">
        <f t="shared" si="5"/>
        <v>168</v>
      </c>
    </row>
    <row r="179" spans="1:17" s="4" customFormat="1" x14ac:dyDescent="0.25">
      <c r="A179" s="11">
        <v>42263</v>
      </c>
      <c r="B179" s="6">
        <v>300</v>
      </c>
      <c r="C179"/>
      <c r="D179"/>
      <c r="E179"/>
      <c r="F179"/>
      <c r="G179"/>
      <c r="L179"/>
      <c r="N179"/>
      <c r="Q17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77"/>
  <sheetViews>
    <sheetView zoomScaleNormal="100" workbookViewId="0">
      <selection activeCell="E7" sqref="E7"/>
    </sheetView>
  </sheetViews>
  <sheetFormatPr defaultRowHeight="15" x14ac:dyDescent="0.25"/>
  <cols>
    <col min="1" max="1" width="27.28515625" customWidth="1"/>
    <col min="2" max="2" width="18.7109375" bestFit="1" customWidth="1"/>
    <col min="3" max="3" width="11" customWidth="1"/>
    <col min="4" max="4" width="8" customWidth="1"/>
    <col min="5" max="8" width="17.85546875" customWidth="1"/>
    <col min="9" max="9" width="15.85546875" customWidth="1"/>
    <col min="10" max="10" width="23.42578125" customWidth="1"/>
    <col min="11" max="11" width="16.140625" customWidth="1"/>
    <col min="13" max="13" width="31.140625" customWidth="1"/>
    <col min="14" max="14" width="15.85546875" customWidth="1"/>
    <col min="17" max="17" width="11" customWidth="1"/>
  </cols>
  <sheetData>
    <row r="1" spans="1:11" x14ac:dyDescent="0.25">
      <c r="A1" s="32" t="s">
        <v>216</v>
      </c>
      <c r="B1" s="22"/>
      <c r="C1" s="22"/>
      <c r="D1" s="22"/>
      <c r="E1" s="22"/>
      <c r="F1" s="22"/>
      <c r="G1" s="22"/>
      <c r="H1" s="22"/>
      <c r="I1" s="22"/>
      <c r="J1" s="22"/>
      <c r="K1" s="33"/>
    </row>
    <row r="2" spans="1:11" x14ac:dyDescent="0.25">
      <c r="A2" s="34" t="s">
        <v>213</v>
      </c>
      <c r="B2" s="30"/>
      <c r="C2" s="30"/>
      <c r="D2" s="30"/>
      <c r="E2" s="30"/>
      <c r="F2" s="30"/>
      <c r="G2" s="30"/>
      <c r="H2" s="30"/>
      <c r="I2" s="30"/>
      <c r="J2" s="30"/>
      <c r="K2" s="35"/>
    </row>
    <row r="4" spans="1:11" ht="30" x14ac:dyDescent="0.25">
      <c r="E4" s="15" t="s">
        <v>23</v>
      </c>
      <c r="F4" s="15" t="s">
        <v>24</v>
      </c>
      <c r="G4" s="15" t="s">
        <v>25</v>
      </c>
      <c r="H4" s="15" t="s">
        <v>26</v>
      </c>
    </row>
    <row r="5" spans="1:11" x14ac:dyDescent="0.25">
      <c r="A5" s="14" t="s">
        <v>207</v>
      </c>
      <c r="E5" s="14" t="s">
        <v>212</v>
      </c>
    </row>
    <row r="7" spans="1:11" x14ac:dyDescent="0.25">
      <c r="A7" s="16" t="s">
        <v>27</v>
      </c>
      <c r="B7" s="16" t="s">
        <v>28</v>
      </c>
      <c r="C7" s="16" t="s">
        <v>29</v>
      </c>
      <c r="E7" s="17" t="s">
        <v>30</v>
      </c>
      <c r="F7" s="17" t="s">
        <v>31</v>
      </c>
      <c r="G7" s="17" t="s">
        <v>32</v>
      </c>
      <c r="H7" s="17" t="s">
        <v>33</v>
      </c>
    </row>
    <row r="8" spans="1:11" x14ac:dyDescent="0.25">
      <c r="A8" s="18" t="s">
        <v>34</v>
      </c>
      <c r="B8" s="18" t="s">
        <v>35</v>
      </c>
      <c r="C8" s="19" t="s">
        <v>36</v>
      </c>
      <c r="E8" s="18">
        <v>1447</v>
      </c>
      <c r="F8" s="18">
        <v>1830</v>
      </c>
      <c r="G8" s="18">
        <v>1686</v>
      </c>
      <c r="H8" s="18">
        <v>766</v>
      </c>
    </row>
    <row r="9" spans="1:11" x14ac:dyDescent="0.25">
      <c r="A9" s="18" t="s">
        <v>37</v>
      </c>
      <c r="B9" s="18" t="s">
        <v>35</v>
      </c>
      <c r="C9" s="19" t="s">
        <v>38</v>
      </c>
      <c r="E9" s="18">
        <v>1405</v>
      </c>
      <c r="F9" s="18">
        <v>1870</v>
      </c>
      <c r="G9" s="18">
        <v>1715</v>
      </c>
      <c r="H9" s="18">
        <v>744</v>
      </c>
    </row>
    <row r="10" spans="1:11" x14ac:dyDescent="0.25">
      <c r="A10" s="18" t="s">
        <v>39</v>
      </c>
      <c r="B10" s="18" t="s">
        <v>35</v>
      </c>
      <c r="C10" s="19" t="s">
        <v>40</v>
      </c>
      <c r="E10" s="18">
        <v>1440</v>
      </c>
      <c r="F10" s="18">
        <v>1816</v>
      </c>
      <c r="G10" s="18">
        <v>1702</v>
      </c>
      <c r="H10" s="18">
        <v>758</v>
      </c>
    </row>
    <row r="11" spans="1:11" x14ac:dyDescent="0.25">
      <c r="A11" s="18" t="s">
        <v>41</v>
      </c>
      <c r="B11" s="18" t="s">
        <v>35</v>
      </c>
      <c r="C11" s="19" t="s">
        <v>42</v>
      </c>
      <c r="E11" s="18">
        <v>1435</v>
      </c>
      <c r="F11" s="18">
        <v>1818</v>
      </c>
      <c r="G11" s="18">
        <v>1706</v>
      </c>
      <c r="H11" s="18">
        <v>754</v>
      </c>
    </row>
    <row r="12" spans="1:11" x14ac:dyDescent="0.25">
      <c r="A12" s="18" t="s">
        <v>43</v>
      </c>
      <c r="B12" s="18" t="s">
        <v>44</v>
      </c>
      <c r="C12" s="19" t="s">
        <v>45</v>
      </c>
      <c r="E12" s="18">
        <v>2277</v>
      </c>
      <c r="F12" s="18">
        <v>743</v>
      </c>
      <c r="G12" s="18">
        <v>373</v>
      </c>
      <c r="H12" s="18">
        <v>1955</v>
      </c>
    </row>
    <row r="13" spans="1:11" x14ac:dyDescent="0.25">
      <c r="A13" s="18" t="s">
        <v>46</v>
      </c>
      <c r="B13" s="18" t="s">
        <v>47</v>
      </c>
      <c r="C13" s="19" t="s">
        <v>48</v>
      </c>
      <c r="E13" s="18">
        <v>796</v>
      </c>
      <c r="F13" s="18">
        <v>2146</v>
      </c>
      <c r="G13" s="18">
        <v>2299</v>
      </c>
      <c r="H13" s="18">
        <v>36</v>
      </c>
    </row>
    <row r="14" spans="1:11" x14ac:dyDescent="0.25">
      <c r="A14" s="18" t="s">
        <v>49</v>
      </c>
      <c r="B14" s="18" t="s">
        <v>47</v>
      </c>
      <c r="C14" s="19" t="s">
        <v>50</v>
      </c>
      <c r="E14" s="18">
        <v>795</v>
      </c>
      <c r="F14" s="18">
        <v>2165</v>
      </c>
      <c r="G14" s="18">
        <v>2319</v>
      </c>
      <c r="H14" s="18">
        <v>4</v>
      </c>
    </row>
    <row r="15" spans="1:11" x14ac:dyDescent="0.25">
      <c r="A15" s="18" t="s">
        <v>51</v>
      </c>
      <c r="B15" s="18" t="s">
        <v>47</v>
      </c>
      <c r="C15" s="19" t="s">
        <v>52</v>
      </c>
      <c r="E15" s="18">
        <v>1258</v>
      </c>
      <c r="F15" s="18">
        <v>2124</v>
      </c>
      <c r="G15" s="18">
        <v>1996</v>
      </c>
      <c r="H15" s="18">
        <v>499</v>
      </c>
    </row>
    <row r="16" spans="1:11" x14ac:dyDescent="0.25">
      <c r="A16" s="18" t="s">
        <v>53</v>
      </c>
      <c r="B16" s="18" t="s">
        <v>47</v>
      </c>
      <c r="C16" s="19" t="s">
        <v>54</v>
      </c>
      <c r="E16" s="18">
        <v>785</v>
      </c>
      <c r="F16" s="18">
        <v>2155</v>
      </c>
      <c r="G16" s="18">
        <v>2319</v>
      </c>
      <c r="H16" s="18">
        <v>25</v>
      </c>
    </row>
    <row r="17" spans="1:8" x14ac:dyDescent="0.25">
      <c r="A17" s="18" t="s">
        <v>55</v>
      </c>
      <c r="B17" s="18" t="s">
        <v>47</v>
      </c>
      <c r="C17" s="19" t="s">
        <v>56</v>
      </c>
      <c r="E17" s="18">
        <v>813</v>
      </c>
      <c r="F17" s="18">
        <v>2183</v>
      </c>
      <c r="G17" s="18">
        <v>2329</v>
      </c>
      <c r="H17" s="18">
        <v>21</v>
      </c>
    </row>
    <row r="18" spans="1:8" x14ac:dyDescent="0.25">
      <c r="A18" s="18" t="s">
        <v>57</v>
      </c>
      <c r="B18" s="18" t="s">
        <v>47</v>
      </c>
      <c r="C18" s="19" t="s">
        <v>58</v>
      </c>
      <c r="E18" s="18">
        <v>759</v>
      </c>
      <c r="F18" s="18">
        <v>2129</v>
      </c>
      <c r="G18" s="18">
        <v>2339</v>
      </c>
      <c r="H18" s="18">
        <v>41</v>
      </c>
    </row>
    <row r="19" spans="1:8" x14ac:dyDescent="0.25">
      <c r="A19" s="18" t="s">
        <v>59</v>
      </c>
      <c r="B19" s="18" t="s">
        <v>47</v>
      </c>
      <c r="C19" s="19" t="s">
        <v>60</v>
      </c>
      <c r="E19" s="18">
        <v>816</v>
      </c>
      <c r="F19" s="18">
        <v>2186</v>
      </c>
      <c r="G19" s="18">
        <v>2306</v>
      </c>
      <c r="H19" s="18">
        <v>20</v>
      </c>
    </row>
    <row r="20" spans="1:8" x14ac:dyDescent="0.25">
      <c r="A20" s="18" t="s">
        <v>61</v>
      </c>
      <c r="B20" s="18" t="s">
        <v>47</v>
      </c>
      <c r="C20" s="19" t="s">
        <v>62</v>
      </c>
      <c r="E20" s="18">
        <v>1162</v>
      </c>
      <c r="F20" s="18">
        <v>2063</v>
      </c>
      <c r="G20" s="18">
        <v>2034</v>
      </c>
      <c r="H20" s="18">
        <v>404</v>
      </c>
    </row>
    <row r="21" spans="1:8" x14ac:dyDescent="0.25">
      <c r="A21" s="18" t="s">
        <v>63</v>
      </c>
      <c r="B21" s="18" t="s">
        <v>47</v>
      </c>
      <c r="C21" s="19" t="s">
        <v>64</v>
      </c>
      <c r="E21" s="18">
        <v>1156</v>
      </c>
      <c r="F21" s="18">
        <v>2071</v>
      </c>
      <c r="G21" s="18">
        <v>2042</v>
      </c>
      <c r="H21" s="18">
        <v>398</v>
      </c>
    </row>
    <row r="22" spans="1:8" x14ac:dyDescent="0.25">
      <c r="A22" s="18" t="s">
        <v>65</v>
      </c>
      <c r="B22" s="18" t="s">
        <v>47</v>
      </c>
      <c r="C22" s="19" t="s">
        <v>66</v>
      </c>
      <c r="E22" s="18">
        <v>822</v>
      </c>
      <c r="F22" s="18">
        <v>2158</v>
      </c>
      <c r="G22" s="18">
        <v>2248</v>
      </c>
      <c r="H22" s="18">
        <v>82</v>
      </c>
    </row>
    <row r="23" spans="1:8" x14ac:dyDescent="0.25">
      <c r="A23" s="18" t="s">
        <v>67</v>
      </c>
      <c r="B23" s="18" t="s">
        <v>47</v>
      </c>
      <c r="C23" s="19" t="s">
        <v>68</v>
      </c>
      <c r="E23" s="18">
        <v>834</v>
      </c>
      <c r="F23" s="18">
        <v>2204</v>
      </c>
      <c r="G23" s="18">
        <v>2290</v>
      </c>
      <c r="H23" s="18">
        <v>44</v>
      </c>
    </row>
    <row r="24" spans="1:8" x14ac:dyDescent="0.25">
      <c r="A24" s="18" t="s">
        <v>69</v>
      </c>
      <c r="B24" s="18" t="s">
        <v>47</v>
      </c>
      <c r="C24" s="19" t="s">
        <v>70</v>
      </c>
      <c r="E24" s="18">
        <v>835</v>
      </c>
      <c r="F24" s="18">
        <v>2205</v>
      </c>
      <c r="G24" s="18">
        <v>2293</v>
      </c>
      <c r="H24" s="18">
        <v>44</v>
      </c>
    </row>
    <row r="25" spans="1:8" x14ac:dyDescent="0.25">
      <c r="A25" s="18" t="s">
        <v>71</v>
      </c>
      <c r="B25" s="18" t="s">
        <v>47</v>
      </c>
      <c r="C25" s="19" t="s">
        <v>72</v>
      </c>
      <c r="E25" s="18">
        <v>1143</v>
      </c>
      <c r="F25" s="18">
        <v>2092</v>
      </c>
      <c r="G25" s="18">
        <v>2062</v>
      </c>
      <c r="H25" s="18">
        <v>385</v>
      </c>
    </row>
    <row r="26" spans="1:8" x14ac:dyDescent="0.25">
      <c r="A26" s="18" t="s">
        <v>73</v>
      </c>
      <c r="B26" s="18" t="s">
        <v>47</v>
      </c>
      <c r="C26" s="19" t="s">
        <v>74</v>
      </c>
      <c r="E26" s="18">
        <v>773</v>
      </c>
      <c r="F26" s="18">
        <v>2143</v>
      </c>
      <c r="G26" s="18">
        <v>2328</v>
      </c>
      <c r="H26" s="18">
        <v>25</v>
      </c>
    </row>
    <row r="27" spans="1:8" x14ac:dyDescent="0.25">
      <c r="A27" s="18" t="s">
        <v>75</v>
      </c>
      <c r="B27" s="18" t="s">
        <v>76</v>
      </c>
      <c r="C27" s="19" t="s">
        <v>77</v>
      </c>
      <c r="E27" s="18">
        <v>1332</v>
      </c>
      <c r="F27" s="18">
        <v>1045</v>
      </c>
      <c r="G27" s="18">
        <v>1318</v>
      </c>
      <c r="H27" s="18">
        <v>1260</v>
      </c>
    </row>
    <row r="28" spans="1:8" x14ac:dyDescent="0.25">
      <c r="A28" s="18" t="s">
        <v>78</v>
      </c>
      <c r="B28" s="18" t="s">
        <v>76</v>
      </c>
      <c r="C28" s="19" t="s">
        <v>79</v>
      </c>
      <c r="E28" s="18">
        <v>1388</v>
      </c>
      <c r="F28" s="18">
        <v>1114</v>
      </c>
      <c r="G28" s="18">
        <v>1312</v>
      </c>
      <c r="H28" s="18">
        <v>1316</v>
      </c>
    </row>
    <row r="29" spans="1:8" x14ac:dyDescent="0.25">
      <c r="A29" s="18" t="s">
        <v>80</v>
      </c>
      <c r="B29" s="18" t="s">
        <v>76</v>
      </c>
      <c r="C29" s="19" t="s">
        <v>81</v>
      </c>
      <c r="E29" s="18">
        <v>1318</v>
      </c>
      <c r="F29" s="18">
        <v>1043</v>
      </c>
      <c r="G29" s="18">
        <v>1328</v>
      </c>
      <c r="H29" s="18">
        <v>1246</v>
      </c>
    </row>
    <row r="30" spans="1:8" x14ac:dyDescent="0.25">
      <c r="A30" s="18" t="s">
        <v>82</v>
      </c>
      <c r="B30" s="18" t="s">
        <v>83</v>
      </c>
      <c r="C30" s="19" t="s">
        <v>84</v>
      </c>
      <c r="E30" s="18">
        <v>2067</v>
      </c>
      <c r="F30" s="18">
        <v>93</v>
      </c>
      <c r="G30" s="18">
        <v>663</v>
      </c>
      <c r="H30" s="18">
        <v>2124</v>
      </c>
    </row>
    <row r="31" spans="1:8" x14ac:dyDescent="0.25">
      <c r="A31" s="18" t="s">
        <v>85</v>
      </c>
      <c r="B31" s="18" t="s">
        <v>83</v>
      </c>
      <c r="C31" s="19" t="s">
        <v>86</v>
      </c>
      <c r="E31" s="18">
        <v>2052</v>
      </c>
      <c r="F31" s="18">
        <v>126</v>
      </c>
      <c r="G31" s="18">
        <v>671</v>
      </c>
      <c r="H31" s="18">
        <v>2099</v>
      </c>
    </row>
    <row r="32" spans="1:8" x14ac:dyDescent="0.25">
      <c r="A32" s="18" t="s">
        <v>87</v>
      </c>
      <c r="B32" s="18" t="s">
        <v>88</v>
      </c>
      <c r="C32" s="19" t="s">
        <v>89</v>
      </c>
      <c r="E32" s="18">
        <v>2254</v>
      </c>
      <c r="F32" s="18">
        <v>387</v>
      </c>
      <c r="G32" s="18">
        <v>343</v>
      </c>
      <c r="H32" s="18">
        <v>2214</v>
      </c>
    </row>
    <row r="33" spans="1:8" x14ac:dyDescent="0.25">
      <c r="A33" s="18" t="s">
        <v>90</v>
      </c>
      <c r="B33" s="18" t="s">
        <v>88</v>
      </c>
      <c r="C33" s="19" t="s">
        <v>91</v>
      </c>
      <c r="E33" s="18">
        <v>2233</v>
      </c>
      <c r="F33" s="18">
        <v>262</v>
      </c>
      <c r="G33" s="18">
        <v>597</v>
      </c>
      <c r="H33" s="18">
        <v>2269</v>
      </c>
    </row>
    <row r="34" spans="1:8" x14ac:dyDescent="0.25">
      <c r="A34" s="18" t="s">
        <v>92</v>
      </c>
      <c r="B34" s="18" t="s">
        <v>93</v>
      </c>
      <c r="C34" s="19" t="s">
        <v>94</v>
      </c>
      <c r="E34" s="18">
        <v>1832</v>
      </c>
      <c r="F34" s="18">
        <v>244</v>
      </c>
      <c r="G34" s="18">
        <v>782</v>
      </c>
      <c r="H34" s="18">
        <v>1919</v>
      </c>
    </row>
    <row r="35" spans="1:8" x14ac:dyDescent="0.25">
      <c r="A35" s="18" t="s">
        <v>95</v>
      </c>
      <c r="B35" s="18" t="s">
        <v>96</v>
      </c>
      <c r="C35" s="19" t="s">
        <v>97</v>
      </c>
      <c r="E35" s="18">
        <v>1842</v>
      </c>
      <c r="F35" s="18">
        <v>576</v>
      </c>
      <c r="G35" s="18">
        <v>695</v>
      </c>
      <c r="H35" s="18">
        <v>1802</v>
      </c>
    </row>
    <row r="36" spans="1:8" x14ac:dyDescent="0.25">
      <c r="A36" s="18" t="s">
        <v>98</v>
      </c>
      <c r="B36" s="18" t="s">
        <v>96</v>
      </c>
      <c r="C36" s="19" t="s">
        <v>99</v>
      </c>
      <c r="E36" s="18">
        <v>1848</v>
      </c>
      <c r="F36" s="18">
        <v>630</v>
      </c>
      <c r="G36" s="18">
        <v>748</v>
      </c>
      <c r="H36" s="18">
        <v>1776</v>
      </c>
    </row>
    <row r="37" spans="1:8" x14ac:dyDescent="0.25">
      <c r="A37" s="18" t="s">
        <v>100</v>
      </c>
      <c r="B37" s="18" t="s">
        <v>101</v>
      </c>
      <c r="C37" s="19" t="s">
        <v>102</v>
      </c>
      <c r="E37" s="18">
        <v>2406</v>
      </c>
      <c r="F37" s="18">
        <v>468</v>
      </c>
      <c r="G37" s="18">
        <v>411</v>
      </c>
      <c r="H37" s="18">
        <v>2383</v>
      </c>
    </row>
    <row r="38" spans="1:8" x14ac:dyDescent="0.25">
      <c r="A38" s="18" t="s">
        <v>103</v>
      </c>
      <c r="B38" s="18" t="s">
        <v>101</v>
      </c>
      <c r="C38" s="19" t="s">
        <v>104</v>
      </c>
      <c r="E38" s="18">
        <v>2340</v>
      </c>
      <c r="F38" s="18">
        <v>401</v>
      </c>
      <c r="G38" s="18">
        <v>363</v>
      </c>
      <c r="H38" s="18">
        <v>2317</v>
      </c>
    </row>
    <row r="39" spans="1:8" x14ac:dyDescent="0.25">
      <c r="A39" s="18" t="s">
        <v>105</v>
      </c>
      <c r="B39" s="18" t="s">
        <v>106</v>
      </c>
      <c r="C39" s="19" t="s">
        <v>107</v>
      </c>
      <c r="E39" s="18">
        <v>2617</v>
      </c>
      <c r="F39" s="18">
        <v>1016</v>
      </c>
      <c r="G39" s="18">
        <v>344</v>
      </c>
      <c r="H39" s="18">
        <v>2265</v>
      </c>
    </row>
    <row r="40" spans="1:8" x14ac:dyDescent="0.25">
      <c r="A40" s="18" t="s">
        <v>108</v>
      </c>
      <c r="B40" s="18" t="s">
        <v>109</v>
      </c>
      <c r="C40" s="19" t="s">
        <v>110</v>
      </c>
      <c r="E40" s="18">
        <v>2771</v>
      </c>
      <c r="F40" s="18">
        <v>800</v>
      </c>
      <c r="G40" s="18">
        <v>781</v>
      </c>
      <c r="H40" s="18">
        <v>2808</v>
      </c>
    </row>
    <row r="41" spans="1:8" x14ac:dyDescent="0.25">
      <c r="A41" s="18" t="s">
        <v>111</v>
      </c>
      <c r="B41" s="18" t="s">
        <v>112</v>
      </c>
      <c r="C41" s="19" t="s">
        <v>113</v>
      </c>
      <c r="E41" s="18">
        <v>2314</v>
      </c>
      <c r="F41" s="18">
        <v>343</v>
      </c>
      <c r="G41" s="18">
        <v>710</v>
      </c>
      <c r="H41" s="18">
        <v>2351</v>
      </c>
    </row>
    <row r="42" spans="1:8" x14ac:dyDescent="0.25">
      <c r="A42" s="18" t="s">
        <v>114</v>
      </c>
      <c r="B42" s="18" t="s">
        <v>112</v>
      </c>
      <c r="C42" s="19" t="s">
        <v>115</v>
      </c>
      <c r="E42" s="18">
        <v>2352</v>
      </c>
      <c r="F42" s="18">
        <v>381</v>
      </c>
      <c r="G42" s="18">
        <v>722</v>
      </c>
      <c r="H42" s="18">
        <v>2389</v>
      </c>
    </row>
    <row r="43" spans="1:8" x14ac:dyDescent="0.25">
      <c r="A43" s="18" t="s">
        <v>116</v>
      </c>
      <c r="B43" s="18" t="s">
        <v>117</v>
      </c>
      <c r="C43" s="19" t="s">
        <v>118</v>
      </c>
      <c r="E43" s="18">
        <v>1668</v>
      </c>
      <c r="F43" s="18">
        <v>332</v>
      </c>
      <c r="G43" s="18">
        <v>1069</v>
      </c>
      <c r="H43" s="18">
        <v>1970</v>
      </c>
    </row>
    <row r="44" spans="1:8" x14ac:dyDescent="0.25">
      <c r="A44" s="18" t="s">
        <v>95</v>
      </c>
      <c r="B44" s="18" t="s">
        <v>119</v>
      </c>
      <c r="C44" s="19" t="s">
        <v>120</v>
      </c>
      <c r="E44" s="18">
        <v>1840</v>
      </c>
      <c r="F44" s="18">
        <v>569</v>
      </c>
      <c r="G44" s="18">
        <v>688</v>
      </c>
      <c r="H44" s="18">
        <v>1800</v>
      </c>
    </row>
    <row r="45" spans="1:8" x14ac:dyDescent="0.25">
      <c r="A45" s="18" t="s">
        <v>121</v>
      </c>
      <c r="B45" s="18" t="s">
        <v>119</v>
      </c>
      <c r="C45" s="19" t="s">
        <v>122</v>
      </c>
      <c r="E45" s="18">
        <v>2089</v>
      </c>
      <c r="F45" s="18">
        <v>375</v>
      </c>
      <c r="G45" s="18">
        <v>500</v>
      </c>
      <c r="H45" s="18">
        <v>2050</v>
      </c>
    </row>
    <row r="46" spans="1:8" x14ac:dyDescent="0.25">
      <c r="A46" s="18" t="s">
        <v>123</v>
      </c>
      <c r="B46" s="18" t="s">
        <v>124</v>
      </c>
      <c r="C46" s="19" t="s">
        <v>125</v>
      </c>
      <c r="E46" s="18">
        <v>1659</v>
      </c>
      <c r="F46" s="18">
        <v>508</v>
      </c>
      <c r="G46" s="18">
        <v>869</v>
      </c>
      <c r="H46" s="18">
        <v>1661</v>
      </c>
    </row>
    <row r="47" spans="1:8" x14ac:dyDescent="0.25">
      <c r="A47" s="18" t="s">
        <v>126</v>
      </c>
      <c r="B47" s="18" t="s">
        <v>127</v>
      </c>
      <c r="C47" s="19" t="s">
        <v>128</v>
      </c>
      <c r="E47" s="18">
        <v>1145</v>
      </c>
      <c r="F47" s="18">
        <v>1806</v>
      </c>
      <c r="G47" s="18">
        <v>1799</v>
      </c>
      <c r="H47" s="18">
        <v>568</v>
      </c>
    </row>
    <row r="48" spans="1:8" x14ac:dyDescent="0.25">
      <c r="A48" s="18" t="s">
        <v>129</v>
      </c>
      <c r="B48" s="18" t="s">
        <v>127</v>
      </c>
      <c r="C48" s="19" t="s">
        <v>130</v>
      </c>
      <c r="E48" s="18">
        <v>738</v>
      </c>
      <c r="F48" s="18">
        <v>1964</v>
      </c>
      <c r="G48" s="18">
        <v>2267</v>
      </c>
      <c r="H48" s="18">
        <v>256</v>
      </c>
    </row>
    <row r="49" spans="1:8" x14ac:dyDescent="0.25">
      <c r="A49" s="18" t="s">
        <v>131</v>
      </c>
      <c r="B49" s="18" t="s">
        <v>132</v>
      </c>
      <c r="C49" s="19" t="s">
        <v>133</v>
      </c>
      <c r="E49" s="18">
        <v>3087</v>
      </c>
      <c r="F49" s="18">
        <v>1116</v>
      </c>
      <c r="G49" s="18">
        <v>1214</v>
      </c>
      <c r="H49" s="18">
        <v>3124</v>
      </c>
    </row>
    <row r="50" spans="1:8" x14ac:dyDescent="0.25">
      <c r="A50" s="18" t="s">
        <v>134</v>
      </c>
      <c r="B50" s="18" t="s">
        <v>135</v>
      </c>
      <c r="C50" s="19" t="s">
        <v>136</v>
      </c>
      <c r="E50" s="18">
        <v>2857</v>
      </c>
      <c r="F50" s="18">
        <v>886</v>
      </c>
      <c r="G50" s="18">
        <v>950</v>
      </c>
      <c r="H50" s="18">
        <v>2894</v>
      </c>
    </row>
    <row r="51" spans="1:8" x14ac:dyDescent="0.25">
      <c r="A51" s="18" t="s">
        <v>137</v>
      </c>
      <c r="B51" s="18" t="s">
        <v>135</v>
      </c>
      <c r="C51" s="19" t="s">
        <v>138</v>
      </c>
      <c r="E51" s="18">
        <v>2860</v>
      </c>
      <c r="F51" s="18">
        <v>889</v>
      </c>
      <c r="G51" s="18">
        <v>959</v>
      </c>
      <c r="H51" s="18">
        <v>2896</v>
      </c>
    </row>
    <row r="52" spans="1:8" x14ac:dyDescent="0.25">
      <c r="A52" s="18" t="s">
        <v>139</v>
      </c>
      <c r="B52" s="18" t="s">
        <v>135</v>
      </c>
      <c r="C52" s="19" t="s">
        <v>140</v>
      </c>
      <c r="E52" s="18">
        <v>2852</v>
      </c>
      <c r="F52" s="18">
        <v>881</v>
      </c>
      <c r="G52" s="18">
        <v>952</v>
      </c>
      <c r="H52" s="18">
        <v>2889</v>
      </c>
    </row>
    <row r="53" spans="1:8" x14ac:dyDescent="0.25">
      <c r="A53" s="18" t="s">
        <v>141</v>
      </c>
      <c r="B53" s="18" t="s">
        <v>141</v>
      </c>
      <c r="C53" s="19" t="s">
        <v>142</v>
      </c>
      <c r="E53" s="18">
        <v>2863</v>
      </c>
      <c r="F53" s="18">
        <v>892</v>
      </c>
      <c r="G53" s="18">
        <v>964</v>
      </c>
      <c r="H53" s="18">
        <v>2900</v>
      </c>
    </row>
    <row r="54" spans="1:8" x14ac:dyDescent="0.25">
      <c r="A54" s="18" t="s">
        <v>143</v>
      </c>
      <c r="B54" s="18" t="s">
        <v>141</v>
      </c>
      <c r="C54" s="19" t="s">
        <v>144</v>
      </c>
      <c r="E54" s="18">
        <v>2873</v>
      </c>
      <c r="F54" s="18">
        <v>902</v>
      </c>
      <c r="G54" s="18">
        <v>980</v>
      </c>
      <c r="H54" s="18">
        <v>2910</v>
      </c>
    </row>
    <row r="55" spans="1:8" x14ac:dyDescent="0.25">
      <c r="A55" s="18" t="s">
        <v>145</v>
      </c>
      <c r="B55" s="18" t="s">
        <v>146</v>
      </c>
      <c r="C55" s="19" t="s">
        <v>147</v>
      </c>
      <c r="E55" s="18">
        <v>2876</v>
      </c>
      <c r="F55" s="18">
        <v>905</v>
      </c>
      <c r="G55" s="18">
        <v>543</v>
      </c>
      <c r="H55" s="18">
        <v>2829</v>
      </c>
    </row>
    <row r="56" spans="1:8" x14ac:dyDescent="0.25">
      <c r="A56" s="18" t="s">
        <v>148</v>
      </c>
      <c r="B56" s="18" t="s">
        <v>146</v>
      </c>
      <c r="C56" s="19" t="s">
        <v>149</v>
      </c>
      <c r="E56" s="18">
        <v>2856</v>
      </c>
      <c r="F56" s="18">
        <v>885</v>
      </c>
      <c r="G56" s="18">
        <v>531</v>
      </c>
      <c r="H56" s="18">
        <v>2808</v>
      </c>
    </row>
    <row r="57" spans="1:8" x14ac:dyDescent="0.25">
      <c r="A57" s="18" t="s">
        <v>150</v>
      </c>
      <c r="B57" s="18" t="s">
        <v>151</v>
      </c>
      <c r="C57" s="19" t="s">
        <v>152</v>
      </c>
      <c r="E57" s="18">
        <v>2327</v>
      </c>
      <c r="F57" s="18">
        <v>389</v>
      </c>
      <c r="G57" s="18">
        <v>468</v>
      </c>
      <c r="H57" s="18">
        <v>2374</v>
      </c>
    </row>
    <row r="58" spans="1:8" x14ac:dyDescent="0.25">
      <c r="A58" s="18" t="s">
        <v>153</v>
      </c>
      <c r="B58" s="18" t="s">
        <v>151</v>
      </c>
      <c r="C58" s="19" t="s">
        <v>154</v>
      </c>
      <c r="E58" s="18">
        <v>2417</v>
      </c>
      <c r="F58" s="18">
        <v>446</v>
      </c>
      <c r="G58" s="18">
        <v>712</v>
      </c>
      <c r="H58" s="18">
        <v>2453</v>
      </c>
    </row>
    <row r="59" spans="1:8" x14ac:dyDescent="0.25">
      <c r="A59" s="18" t="s">
        <v>155</v>
      </c>
      <c r="B59" s="18" t="s">
        <v>156</v>
      </c>
      <c r="C59" s="19" t="s">
        <v>157</v>
      </c>
      <c r="E59" s="18">
        <v>2007</v>
      </c>
      <c r="F59" s="18">
        <v>892</v>
      </c>
      <c r="G59" s="18">
        <v>705</v>
      </c>
      <c r="H59" s="18">
        <v>1639</v>
      </c>
    </row>
    <row r="60" spans="1:8" x14ac:dyDescent="0.25">
      <c r="A60" s="18" t="s">
        <v>158</v>
      </c>
      <c r="B60" s="18" t="s">
        <v>156</v>
      </c>
      <c r="C60" s="19" t="s">
        <v>159</v>
      </c>
      <c r="E60" s="18">
        <v>2000</v>
      </c>
      <c r="F60" s="18">
        <v>773</v>
      </c>
      <c r="G60" s="18">
        <v>639</v>
      </c>
      <c r="H60" s="18">
        <v>1718</v>
      </c>
    </row>
    <row r="61" spans="1:8" x14ac:dyDescent="0.25">
      <c r="A61" s="18" t="s">
        <v>160</v>
      </c>
      <c r="B61" s="18" t="s">
        <v>161</v>
      </c>
      <c r="C61" s="19" t="s">
        <v>162</v>
      </c>
      <c r="E61" s="18">
        <v>278</v>
      </c>
      <c r="F61" s="18">
        <v>2173</v>
      </c>
      <c r="G61" s="18">
        <v>2494</v>
      </c>
      <c r="H61" s="18">
        <v>523</v>
      </c>
    </row>
    <row r="62" spans="1:8" x14ac:dyDescent="0.25">
      <c r="A62" s="18" t="s">
        <v>163</v>
      </c>
      <c r="B62" s="18" t="s">
        <v>161</v>
      </c>
      <c r="C62" s="19" t="s">
        <v>164</v>
      </c>
      <c r="E62" s="18">
        <v>168</v>
      </c>
      <c r="F62" s="18">
        <v>2065</v>
      </c>
      <c r="G62" s="18">
        <v>2480</v>
      </c>
      <c r="H62" s="18">
        <v>629</v>
      </c>
    </row>
    <row r="63" spans="1:8" x14ac:dyDescent="0.25">
      <c r="A63" s="18" t="s">
        <v>165</v>
      </c>
      <c r="B63" s="18" t="s">
        <v>166</v>
      </c>
      <c r="C63" s="19" t="s">
        <v>167</v>
      </c>
      <c r="E63" s="18">
        <v>2832</v>
      </c>
      <c r="F63" s="18">
        <v>861</v>
      </c>
      <c r="G63" s="18">
        <v>878</v>
      </c>
      <c r="H63" s="18">
        <v>2869</v>
      </c>
    </row>
    <row r="64" spans="1:8" x14ac:dyDescent="0.25">
      <c r="A64" s="18" t="s">
        <v>168</v>
      </c>
      <c r="B64" s="18" t="s">
        <v>166</v>
      </c>
      <c r="C64" s="19" t="s">
        <v>169</v>
      </c>
      <c r="E64" s="18">
        <v>2535</v>
      </c>
      <c r="F64" s="18">
        <v>564</v>
      </c>
      <c r="G64" s="18">
        <v>753</v>
      </c>
      <c r="H64" s="18">
        <v>2572</v>
      </c>
    </row>
    <row r="65" spans="1:8" x14ac:dyDescent="0.25">
      <c r="A65" s="18" t="s">
        <v>170</v>
      </c>
      <c r="B65" s="18" t="s">
        <v>171</v>
      </c>
      <c r="C65" s="19" t="s">
        <v>172</v>
      </c>
      <c r="E65" s="18">
        <v>3046</v>
      </c>
      <c r="F65" s="18">
        <v>1075</v>
      </c>
      <c r="G65" s="18">
        <v>1153</v>
      </c>
      <c r="H65" s="18">
        <v>3083</v>
      </c>
    </row>
    <row r="66" spans="1:8" x14ac:dyDescent="0.25">
      <c r="A66" s="18" t="s">
        <v>173</v>
      </c>
      <c r="B66" s="18" t="s">
        <v>174</v>
      </c>
      <c r="C66" s="19" t="s">
        <v>175</v>
      </c>
      <c r="E66" s="18">
        <v>2835</v>
      </c>
      <c r="F66" s="18">
        <v>903</v>
      </c>
      <c r="G66" s="18">
        <v>362</v>
      </c>
      <c r="H66" s="18">
        <v>2678</v>
      </c>
    </row>
    <row r="67" spans="1:8" x14ac:dyDescent="0.25">
      <c r="A67" s="18" t="s">
        <v>176</v>
      </c>
      <c r="B67" s="18" t="s">
        <v>177</v>
      </c>
      <c r="C67" s="19" t="s">
        <v>178</v>
      </c>
      <c r="E67" s="18">
        <v>1478</v>
      </c>
      <c r="F67" s="18">
        <v>497</v>
      </c>
      <c r="G67" s="18">
        <v>1053</v>
      </c>
      <c r="H67" s="18">
        <v>1727</v>
      </c>
    </row>
    <row r="68" spans="1:8" x14ac:dyDescent="0.25">
      <c r="A68" s="18" t="s">
        <v>179</v>
      </c>
      <c r="B68" s="18" t="s">
        <v>180</v>
      </c>
      <c r="C68" s="19" t="s">
        <v>181</v>
      </c>
      <c r="E68" s="18">
        <v>2359</v>
      </c>
      <c r="F68" s="18">
        <v>561</v>
      </c>
      <c r="G68" s="18">
        <v>232</v>
      </c>
      <c r="H68" s="18">
        <v>2294</v>
      </c>
    </row>
    <row r="69" spans="1:8" x14ac:dyDescent="0.25">
      <c r="A69" s="18" t="s">
        <v>182</v>
      </c>
      <c r="B69" s="18" t="s">
        <v>183</v>
      </c>
      <c r="C69" s="19" t="s">
        <v>184</v>
      </c>
      <c r="E69" s="18">
        <v>2091</v>
      </c>
      <c r="F69" s="18">
        <v>1156</v>
      </c>
      <c r="G69" s="18">
        <v>741</v>
      </c>
      <c r="H69" s="18">
        <v>1744</v>
      </c>
    </row>
    <row r="70" spans="1:8" x14ac:dyDescent="0.25">
      <c r="A70" s="18" t="s">
        <v>185</v>
      </c>
      <c r="B70" s="18" t="s">
        <v>183</v>
      </c>
      <c r="C70" s="19" t="s">
        <v>186</v>
      </c>
      <c r="E70" s="18">
        <v>2219</v>
      </c>
      <c r="F70" s="18">
        <v>1432</v>
      </c>
      <c r="G70" s="18">
        <v>978</v>
      </c>
      <c r="H70" s="18">
        <v>1780</v>
      </c>
    </row>
    <row r="71" spans="1:8" x14ac:dyDescent="0.25">
      <c r="A71" s="18" t="s">
        <v>187</v>
      </c>
      <c r="B71" s="18" t="s">
        <v>183</v>
      </c>
      <c r="C71" s="19" t="s">
        <v>188</v>
      </c>
      <c r="E71" s="18">
        <v>2123</v>
      </c>
      <c r="F71" s="18">
        <v>1052</v>
      </c>
      <c r="G71" s="18">
        <v>629</v>
      </c>
      <c r="H71" s="18">
        <v>1734</v>
      </c>
    </row>
    <row r="72" spans="1:8" x14ac:dyDescent="0.25">
      <c r="A72" s="18" t="s">
        <v>189</v>
      </c>
      <c r="B72" s="18" t="s">
        <v>190</v>
      </c>
      <c r="C72" s="19" t="s">
        <v>191</v>
      </c>
      <c r="E72" s="18">
        <v>2781</v>
      </c>
      <c r="F72" s="18">
        <v>811</v>
      </c>
      <c r="G72" s="18">
        <v>746</v>
      </c>
      <c r="H72" s="18">
        <v>2818</v>
      </c>
    </row>
    <row r="73" spans="1:8" x14ac:dyDescent="0.25">
      <c r="A73" s="18" t="s">
        <v>192</v>
      </c>
      <c r="B73" s="18" t="s">
        <v>190</v>
      </c>
      <c r="C73" s="19" t="s">
        <v>193</v>
      </c>
      <c r="E73" s="18">
        <v>2945</v>
      </c>
      <c r="F73" s="18">
        <v>974</v>
      </c>
      <c r="G73" s="18">
        <v>716</v>
      </c>
      <c r="H73" s="18">
        <v>2950</v>
      </c>
    </row>
    <row r="74" spans="1:8" x14ac:dyDescent="0.25">
      <c r="A74" s="18" t="s">
        <v>194</v>
      </c>
      <c r="B74" s="18" t="s">
        <v>195</v>
      </c>
      <c r="C74" s="19" t="s">
        <v>30</v>
      </c>
      <c r="E74" s="18">
        <v>0</v>
      </c>
      <c r="F74" s="18">
        <v>1995</v>
      </c>
      <c r="G74" s="18">
        <v>2525</v>
      </c>
      <c r="H74" s="18">
        <v>796</v>
      </c>
    </row>
    <row r="75" spans="1:8" x14ac:dyDescent="0.25">
      <c r="A75" s="18" t="s">
        <v>196</v>
      </c>
      <c r="B75" s="18" t="s">
        <v>195</v>
      </c>
      <c r="C75" s="19" t="s">
        <v>197</v>
      </c>
      <c r="E75" s="18">
        <v>282</v>
      </c>
      <c r="F75" s="18">
        <v>1714</v>
      </c>
      <c r="G75" s="18">
        <v>2244</v>
      </c>
      <c r="H75" s="18">
        <v>864</v>
      </c>
    </row>
    <row r="76" spans="1:8" x14ac:dyDescent="0.25">
      <c r="A76" s="18" t="s">
        <v>198</v>
      </c>
      <c r="B76" s="18" t="s">
        <v>199</v>
      </c>
      <c r="C76" s="19" t="s">
        <v>200</v>
      </c>
      <c r="E76" s="18">
        <v>1934</v>
      </c>
      <c r="F76" s="18">
        <v>121</v>
      </c>
      <c r="G76" s="18">
        <v>878</v>
      </c>
      <c r="H76" s="18">
        <v>2224</v>
      </c>
    </row>
    <row r="77" spans="1:8" x14ac:dyDescent="0.25">
      <c r="A77" s="18" t="s">
        <v>201</v>
      </c>
      <c r="B77" s="18" t="s">
        <v>199</v>
      </c>
      <c r="C77" s="19" t="s">
        <v>202</v>
      </c>
      <c r="E77" s="18">
        <v>1927</v>
      </c>
      <c r="F77" s="18">
        <v>74</v>
      </c>
      <c r="G77" s="18">
        <v>811</v>
      </c>
      <c r="H77" s="18">
        <v>2091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Topics</vt:lpstr>
      <vt:lpstr>Spreadsheet Models</vt:lpstr>
      <vt:lpstr>FC VC Analysis</vt:lpstr>
      <vt:lpstr>Calcualte Revenue</vt:lpstr>
      <vt:lpstr>Shipping Costs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2015-09-15T21:47:37Z</dcterms:created>
  <dcterms:modified xsi:type="dcterms:W3CDTF">2015-09-30T20:37:39Z</dcterms:modified>
</cp:coreProperties>
</file>