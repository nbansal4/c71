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ocx" ContentType="application/vnd.openxmlformats-officedocument.wordprocessingml.document"/>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defaultThemeVersion="153222"/>
  <mc:AlternateContent xmlns:mc="http://schemas.openxmlformats.org/markup-compatibility/2006">
    <mc:Choice Requires="x15">
      <x15ac:absPath xmlns:x15ac="http://schemas.microsoft.com/office/spreadsheetml/2010/11/ac" url="E:\00VideoExcelStorage\348\Content\Chapter07\Downloads\"/>
    </mc:Choice>
  </mc:AlternateContent>
  <bookViews>
    <workbookView xWindow="0" yWindow="0" windowWidth="28770" windowHeight="12360" tabRatio="776"/>
  </bookViews>
  <sheets>
    <sheet name="Topics" sheetId="1" r:id="rId1"/>
    <sheet name="Spreadsheet Models" sheetId="2" r:id="rId2"/>
    <sheet name="FC VC Analysis" sheetId="6" r:id="rId3"/>
    <sheet name="Quad FC VC Profit" sheetId="7" r:id="rId4"/>
    <sheet name="Goal Seek" sheetId="10" r:id="rId5"/>
    <sheet name="1 V Data Table" sheetId="11" r:id="rId6"/>
    <sheet name="2 V Data Table" sheetId="12" r:id="rId7"/>
    <sheet name="Calcualte Revenue" sheetId="4" r:id="rId8"/>
    <sheet name="Shipping Costs" sheetId="5" r:id="rId9"/>
  </sheets>
  <definedNames>
    <definedName name="_xlnm.Print_Area" localSheetId="5">'1 V Data Table'!$A$24:$H$62</definedName>
    <definedName name="_xlnm.Print_Area" localSheetId="6">'2 V Data Table'!$A$24:$H$62</definedName>
    <definedName name="_xlnm.Print_Area" localSheetId="7">'Calcualte Revenue'!$A$1:$R$23</definedName>
    <definedName name="_xlnm.Print_Area" localSheetId="8">'Shipping Costs'!$A$1:$N$27</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33" i="12" l="1"/>
  <c r="K9" i="5" l="1"/>
  <c r="K10" i="5"/>
  <c r="K11" i="5"/>
  <c r="K12" i="5"/>
  <c r="K13" i="5"/>
  <c r="K14" i="5"/>
  <c r="K15" i="5"/>
  <c r="K16" i="5"/>
  <c r="K17" i="5"/>
  <c r="K18" i="5"/>
  <c r="K19" i="5"/>
  <c r="K20" i="5"/>
  <c r="K21" i="5"/>
  <c r="K22" i="5"/>
  <c r="K23" i="5"/>
  <c r="K24" i="5"/>
  <c r="K25" i="5"/>
  <c r="K26" i="5"/>
  <c r="K27" i="5"/>
  <c r="K28" i="5"/>
  <c r="K29" i="5"/>
  <c r="K30" i="5"/>
  <c r="K31" i="5"/>
  <c r="K32" i="5"/>
  <c r="K33" i="5"/>
  <c r="K34" i="5"/>
  <c r="K35" i="5"/>
  <c r="K36" i="5"/>
  <c r="K37" i="5"/>
  <c r="K38" i="5"/>
  <c r="K39" i="5"/>
  <c r="K40" i="5"/>
  <c r="K41" i="5"/>
  <c r="K42" i="5"/>
  <c r="K43" i="5"/>
  <c r="K44" i="5"/>
  <c r="K45" i="5"/>
  <c r="K46" i="5"/>
  <c r="K47" i="5"/>
  <c r="K48" i="5"/>
  <c r="K49" i="5"/>
  <c r="K50" i="5"/>
  <c r="K51" i="5"/>
  <c r="K52" i="5"/>
  <c r="K53" i="5"/>
  <c r="K54" i="5"/>
  <c r="K55" i="5"/>
  <c r="K56" i="5"/>
  <c r="K57" i="5"/>
  <c r="K58" i="5"/>
  <c r="K59" i="5"/>
  <c r="K60" i="5"/>
  <c r="K61" i="5"/>
  <c r="K62" i="5"/>
  <c r="K63" i="5"/>
  <c r="K64" i="5"/>
  <c r="K65" i="5"/>
  <c r="K66" i="5"/>
  <c r="K67" i="5"/>
  <c r="K68" i="5"/>
  <c r="K69" i="5"/>
  <c r="K70" i="5"/>
  <c r="K71" i="5"/>
  <c r="K72" i="5"/>
  <c r="K73" i="5"/>
  <c r="K74" i="5"/>
  <c r="K75" i="5"/>
  <c r="K76" i="5"/>
  <c r="K77" i="5"/>
  <c r="K8" i="5"/>
  <c r="J9" i="5"/>
  <c r="J10" i="5"/>
  <c r="J11" i="5"/>
  <c r="J12" i="5"/>
  <c r="J13" i="5"/>
  <c r="J14" i="5"/>
  <c r="J15" i="5"/>
  <c r="J16" i="5"/>
  <c r="J17" i="5"/>
  <c r="J18" i="5"/>
  <c r="J19" i="5"/>
  <c r="J20" i="5"/>
  <c r="J21" i="5"/>
  <c r="J22" i="5"/>
  <c r="J23" i="5"/>
  <c r="J24" i="5"/>
  <c r="J25" i="5"/>
  <c r="J26" i="5"/>
  <c r="J27" i="5"/>
  <c r="J28" i="5"/>
  <c r="J29" i="5"/>
  <c r="J30" i="5"/>
  <c r="J31" i="5"/>
  <c r="J32" i="5"/>
  <c r="J33" i="5"/>
  <c r="J34" i="5"/>
  <c r="J35" i="5"/>
  <c r="J36" i="5"/>
  <c r="J37" i="5"/>
  <c r="J38" i="5"/>
  <c r="J39" i="5"/>
  <c r="J40" i="5"/>
  <c r="J41" i="5"/>
  <c r="J42" i="5"/>
  <c r="J43" i="5"/>
  <c r="J44" i="5"/>
  <c r="J45" i="5"/>
  <c r="J46" i="5"/>
  <c r="J47" i="5"/>
  <c r="J48" i="5"/>
  <c r="J49" i="5"/>
  <c r="J50" i="5"/>
  <c r="J51" i="5"/>
  <c r="J52" i="5"/>
  <c r="J53" i="5"/>
  <c r="J54" i="5"/>
  <c r="J55" i="5"/>
  <c r="J56" i="5"/>
  <c r="J57" i="5"/>
  <c r="J58" i="5"/>
  <c r="J59" i="5"/>
  <c r="J60" i="5"/>
  <c r="J61" i="5"/>
  <c r="J62" i="5"/>
  <c r="J63" i="5"/>
  <c r="J64" i="5"/>
  <c r="J65" i="5"/>
  <c r="J66" i="5"/>
  <c r="J67" i="5"/>
  <c r="J68" i="5"/>
  <c r="J69" i="5"/>
  <c r="J70" i="5"/>
  <c r="J71" i="5"/>
  <c r="J72" i="5"/>
  <c r="J73" i="5"/>
  <c r="J74" i="5"/>
  <c r="J75" i="5"/>
  <c r="J76" i="5"/>
  <c r="J77" i="5"/>
  <c r="J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8" i="5"/>
  <c r="M11" i="4" l="1"/>
  <c r="M9" i="4"/>
  <c r="M10" i="4"/>
  <c r="M8" i="4" l="1"/>
  <c r="C8" i="4"/>
  <c r="C9" i="4"/>
  <c r="D9" i="4"/>
  <c r="C10" i="4"/>
  <c r="D10" i="4" s="1"/>
  <c r="C11" i="4"/>
  <c r="D11" i="4" s="1"/>
  <c r="C12" i="4"/>
  <c r="D12" i="4" s="1"/>
  <c r="C13" i="4"/>
  <c r="D13" i="4" s="1"/>
  <c r="C14" i="4"/>
  <c r="D14" i="4" s="1"/>
  <c r="C15" i="4"/>
  <c r="D15" i="4" s="1"/>
  <c r="C16" i="4"/>
  <c r="D16" i="4" s="1"/>
  <c r="C17" i="4"/>
  <c r="D17" i="4" s="1"/>
  <c r="C18" i="4"/>
  <c r="D18" i="4" s="1"/>
  <c r="C19" i="4"/>
  <c r="D19" i="4" s="1"/>
  <c r="C20" i="4"/>
  <c r="D20" i="4" s="1"/>
  <c r="C21" i="4"/>
  <c r="D21" i="4" s="1"/>
  <c r="C22" i="4"/>
  <c r="D22" i="4" s="1"/>
  <c r="C23" i="4"/>
  <c r="D23" i="4" s="1"/>
  <c r="C24" i="4"/>
  <c r="D24" i="4" s="1"/>
  <c r="C25" i="4"/>
  <c r="D25" i="4" s="1"/>
  <c r="C26" i="4"/>
  <c r="D26" i="4" s="1"/>
  <c r="C27" i="4"/>
  <c r="D27" i="4" s="1"/>
  <c r="C28" i="4"/>
  <c r="D28" i="4" s="1"/>
  <c r="C29" i="4"/>
  <c r="D29" i="4" s="1"/>
  <c r="C30" i="4"/>
  <c r="D30" i="4" s="1"/>
  <c r="C31" i="4"/>
  <c r="D31" i="4" s="1"/>
  <c r="C32" i="4"/>
  <c r="D32" i="4" s="1"/>
  <c r="C33" i="4"/>
  <c r="D33" i="4" s="1"/>
  <c r="C34" i="4"/>
  <c r="D34" i="4" s="1"/>
  <c r="C35" i="4"/>
  <c r="D35" i="4" s="1"/>
  <c r="C36" i="4"/>
  <c r="D36" i="4" s="1"/>
  <c r="C37" i="4"/>
  <c r="D37" i="4" s="1"/>
  <c r="C38" i="4"/>
  <c r="D38" i="4" s="1"/>
  <c r="C39" i="4"/>
  <c r="D39" i="4" s="1"/>
  <c r="C40" i="4"/>
  <c r="D40" i="4" s="1"/>
  <c r="C41" i="4"/>
  <c r="D41" i="4" s="1"/>
  <c r="C42" i="4"/>
  <c r="D42" i="4" s="1"/>
  <c r="C43" i="4"/>
  <c r="D43" i="4" s="1"/>
  <c r="C44" i="4"/>
  <c r="D44" i="4" s="1"/>
  <c r="C45" i="4"/>
  <c r="D45" i="4" s="1"/>
  <c r="C46" i="4"/>
  <c r="D46" i="4" s="1"/>
  <c r="C47" i="4"/>
  <c r="D47" i="4" s="1"/>
  <c r="C48" i="4"/>
  <c r="D48" i="4" s="1"/>
  <c r="C49" i="4"/>
  <c r="D49" i="4" s="1"/>
  <c r="C50" i="4"/>
  <c r="D50" i="4" s="1"/>
  <c r="C51" i="4"/>
  <c r="D51" i="4" s="1"/>
  <c r="C52" i="4"/>
  <c r="D52" i="4" s="1"/>
  <c r="C53" i="4"/>
  <c r="D53" i="4" s="1"/>
  <c r="C54" i="4"/>
  <c r="D54" i="4" s="1"/>
  <c r="C55" i="4"/>
  <c r="D55" i="4" s="1"/>
  <c r="C56" i="4"/>
  <c r="D56" i="4" s="1"/>
  <c r="C57" i="4"/>
  <c r="D57" i="4" s="1"/>
  <c r="C58" i="4"/>
  <c r="D58" i="4" s="1"/>
  <c r="C59" i="4"/>
  <c r="D59" i="4" s="1"/>
  <c r="C60" i="4"/>
  <c r="D60" i="4" s="1"/>
  <c r="C61" i="4"/>
  <c r="D61" i="4" s="1"/>
  <c r="C62" i="4"/>
  <c r="D62" i="4" s="1"/>
  <c r="C63" i="4"/>
  <c r="D63" i="4" s="1"/>
  <c r="C64" i="4"/>
  <c r="D64" i="4" s="1"/>
  <c r="C65" i="4"/>
  <c r="D65" i="4" s="1"/>
  <c r="C66" i="4"/>
  <c r="D66" i="4" s="1"/>
  <c r="C67" i="4"/>
  <c r="D67" i="4" s="1"/>
  <c r="C68" i="4"/>
  <c r="D68" i="4" s="1"/>
  <c r="C69" i="4"/>
  <c r="D69" i="4" s="1"/>
  <c r="C70" i="4"/>
  <c r="D70" i="4" s="1"/>
  <c r="C71" i="4"/>
  <c r="D71" i="4" s="1"/>
  <c r="C72" i="4"/>
  <c r="D72" i="4" s="1"/>
  <c r="C73" i="4"/>
  <c r="D73" i="4" s="1"/>
  <c r="C74" i="4"/>
  <c r="D74" i="4" s="1"/>
  <c r="C75" i="4"/>
  <c r="D75" i="4" s="1"/>
  <c r="C76" i="4"/>
  <c r="D76" i="4" s="1"/>
  <c r="C77" i="4"/>
  <c r="D77" i="4" s="1"/>
  <c r="C78" i="4"/>
  <c r="D78" i="4" s="1"/>
  <c r="C79" i="4"/>
  <c r="D79" i="4" s="1"/>
  <c r="C80" i="4"/>
  <c r="D80" i="4" s="1"/>
  <c r="C81" i="4"/>
  <c r="D81" i="4" s="1"/>
  <c r="C82" i="4"/>
  <c r="D82" i="4" s="1"/>
  <c r="C83" i="4"/>
  <c r="D83" i="4" s="1"/>
  <c r="C84" i="4"/>
  <c r="D84" i="4" s="1"/>
  <c r="C85" i="4"/>
  <c r="D85" i="4" s="1"/>
  <c r="C86" i="4"/>
  <c r="D86" i="4" s="1"/>
  <c r="C87" i="4"/>
  <c r="D87" i="4" s="1"/>
  <c r="C88" i="4"/>
  <c r="D88" i="4" s="1"/>
  <c r="C89" i="4"/>
  <c r="D89" i="4" s="1"/>
  <c r="C90" i="4"/>
  <c r="D90" i="4" s="1"/>
  <c r="C91" i="4"/>
  <c r="D91" i="4" s="1"/>
  <c r="C92" i="4"/>
  <c r="D92" i="4" s="1"/>
  <c r="C93" i="4"/>
  <c r="D93" i="4" s="1"/>
  <c r="C94" i="4"/>
  <c r="D94" i="4" s="1"/>
  <c r="C95" i="4"/>
  <c r="D95" i="4" s="1"/>
  <c r="C96" i="4"/>
  <c r="D96" i="4" s="1"/>
  <c r="C97" i="4"/>
  <c r="D97" i="4" s="1"/>
  <c r="C98" i="4"/>
  <c r="D98" i="4" s="1"/>
  <c r="C99" i="4"/>
  <c r="D99" i="4" s="1"/>
  <c r="C100" i="4"/>
  <c r="D100" i="4" s="1"/>
  <c r="C101" i="4"/>
  <c r="D101" i="4" s="1"/>
  <c r="C102" i="4"/>
  <c r="D102" i="4" s="1"/>
  <c r="C103" i="4"/>
  <c r="D103" i="4" s="1"/>
  <c r="C104" i="4"/>
  <c r="D104" i="4" s="1"/>
  <c r="C105" i="4"/>
  <c r="D105" i="4" s="1"/>
  <c r="C106" i="4"/>
  <c r="D106" i="4" s="1"/>
  <c r="C107" i="4"/>
  <c r="D107" i="4" s="1"/>
  <c r="C108" i="4"/>
  <c r="D108" i="4" s="1"/>
  <c r="C109" i="4"/>
  <c r="D109" i="4" s="1"/>
  <c r="C110" i="4"/>
  <c r="D110" i="4" s="1"/>
  <c r="C111" i="4"/>
  <c r="D111" i="4" s="1"/>
  <c r="C112" i="4"/>
  <c r="D112" i="4" s="1"/>
  <c r="C113" i="4"/>
  <c r="D113" i="4" s="1"/>
  <c r="C114" i="4"/>
  <c r="D114" i="4" s="1"/>
  <c r="C115" i="4"/>
  <c r="D115" i="4" s="1"/>
  <c r="C116" i="4"/>
  <c r="D116" i="4" s="1"/>
  <c r="C117" i="4"/>
  <c r="D117" i="4" s="1"/>
  <c r="C118" i="4"/>
  <c r="D118" i="4" s="1"/>
  <c r="C119" i="4"/>
  <c r="D119" i="4" s="1"/>
  <c r="C120" i="4"/>
  <c r="D120" i="4" s="1"/>
  <c r="C121" i="4"/>
  <c r="D121" i="4" s="1"/>
  <c r="C122" i="4"/>
  <c r="D122" i="4" s="1"/>
  <c r="C123" i="4"/>
  <c r="D123" i="4" s="1"/>
  <c r="C124" i="4"/>
  <c r="D124" i="4" s="1"/>
  <c r="C125" i="4"/>
  <c r="D125" i="4" s="1"/>
  <c r="C126" i="4"/>
  <c r="D126" i="4" s="1"/>
  <c r="C127" i="4"/>
  <c r="D127" i="4" s="1"/>
  <c r="C128" i="4"/>
  <c r="D128" i="4" s="1"/>
  <c r="C129" i="4"/>
  <c r="D129" i="4" s="1"/>
  <c r="C130" i="4"/>
  <c r="D130" i="4" s="1"/>
  <c r="C131" i="4"/>
  <c r="D131" i="4" s="1"/>
  <c r="C132" i="4"/>
  <c r="D132" i="4" s="1"/>
  <c r="C133" i="4"/>
  <c r="D133" i="4" s="1"/>
  <c r="C134" i="4"/>
  <c r="D134" i="4" s="1"/>
  <c r="C135" i="4"/>
  <c r="D135" i="4" s="1"/>
  <c r="C136" i="4"/>
  <c r="D136" i="4" s="1"/>
  <c r="C137" i="4"/>
  <c r="D137" i="4" s="1"/>
  <c r="C138" i="4"/>
  <c r="D138" i="4" s="1"/>
  <c r="C139" i="4"/>
  <c r="D139" i="4" s="1"/>
  <c r="C140" i="4"/>
  <c r="D140" i="4" s="1"/>
  <c r="C141" i="4"/>
  <c r="D141" i="4" s="1"/>
  <c r="C142" i="4"/>
  <c r="D142" i="4" s="1"/>
  <c r="C143" i="4"/>
  <c r="D143" i="4" s="1"/>
  <c r="C144" i="4"/>
  <c r="D144" i="4" s="1"/>
  <c r="C145" i="4"/>
  <c r="D145" i="4" s="1"/>
  <c r="C146" i="4"/>
  <c r="D146" i="4" s="1"/>
  <c r="C147" i="4"/>
  <c r="D147" i="4" s="1"/>
  <c r="C148" i="4"/>
  <c r="D148" i="4" s="1"/>
  <c r="C149" i="4"/>
  <c r="D149" i="4" s="1"/>
  <c r="C150" i="4"/>
  <c r="D150" i="4" s="1"/>
  <c r="C151" i="4"/>
  <c r="D151" i="4" s="1"/>
  <c r="C152" i="4"/>
  <c r="D152" i="4" s="1"/>
  <c r="C153" i="4"/>
  <c r="D153" i="4" s="1"/>
  <c r="C154" i="4"/>
  <c r="D154" i="4" s="1"/>
  <c r="C155" i="4"/>
  <c r="D155" i="4" s="1"/>
  <c r="C156" i="4"/>
  <c r="D156" i="4" s="1"/>
  <c r="C157" i="4"/>
  <c r="D157" i="4" s="1"/>
  <c r="C158" i="4"/>
  <c r="D158" i="4" s="1"/>
  <c r="C159" i="4"/>
  <c r="D159" i="4" s="1"/>
  <c r="C160" i="4"/>
  <c r="D160" i="4" s="1"/>
  <c r="C161" i="4"/>
  <c r="D161" i="4" s="1"/>
  <c r="C162" i="4"/>
  <c r="D162" i="4" s="1"/>
  <c r="C163" i="4"/>
  <c r="D163" i="4" s="1"/>
  <c r="C164" i="4"/>
  <c r="D164" i="4" s="1"/>
  <c r="C165" i="4"/>
  <c r="D165" i="4" s="1"/>
  <c r="C166" i="4"/>
  <c r="D166" i="4" s="1"/>
  <c r="C167" i="4"/>
  <c r="D167" i="4" s="1"/>
  <c r="C168" i="4"/>
  <c r="D168" i="4" s="1"/>
  <c r="C169" i="4"/>
  <c r="D169" i="4" s="1"/>
  <c r="C170" i="4"/>
  <c r="D170" i="4" s="1"/>
  <c r="C171" i="4"/>
  <c r="D171" i="4" s="1"/>
  <c r="C172" i="4"/>
  <c r="D172" i="4" s="1"/>
  <c r="C173" i="4"/>
  <c r="D173" i="4" s="1"/>
  <c r="C174" i="4"/>
  <c r="D174" i="4" s="1"/>
  <c r="C175" i="4"/>
  <c r="D175" i="4" s="1"/>
  <c r="C176" i="4"/>
  <c r="D176" i="4" s="1"/>
  <c r="C177" i="4"/>
  <c r="D177" i="4" s="1"/>
  <c r="C178" i="4"/>
  <c r="D178" i="4" s="1"/>
  <c r="C179" i="4"/>
  <c r="D179" i="4" s="1"/>
  <c r="G8" i="4"/>
  <c r="Q8" i="4"/>
  <c r="Q9" i="4"/>
  <c r="Q10" i="4"/>
  <c r="Q11" i="4"/>
  <c r="Q12" i="4"/>
  <c r="Q13" i="4"/>
  <c r="Q14" i="4"/>
  <c r="Q15" i="4"/>
  <c r="Q16" i="4"/>
  <c r="Q17" i="4"/>
  <c r="Q18" i="4"/>
  <c r="Q19" i="4"/>
  <c r="Q20" i="4"/>
  <c r="Q21" i="4"/>
  <c r="Q22" i="4"/>
  <c r="Q23" i="4"/>
  <c r="Q24" i="4"/>
  <c r="Q25" i="4"/>
  <c r="Q26" i="4"/>
  <c r="Q27" i="4"/>
  <c r="Q28" i="4"/>
  <c r="Q29" i="4"/>
  <c r="Q30" i="4"/>
  <c r="Q31" i="4"/>
  <c r="Q32" i="4"/>
  <c r="Q33" i="4"/>
  <c r="Q34" i="4"/>
  <c r="Q35" i="4"/>
  <c r="Q36" i="4"/>
  <c r="Q37" i="4"/>
  <c r="Q38" i="4"/>
  <c r="Q39" i="4"/>
  <c r="Q40" i="4"/>
  <c r="Q41" i="4"/>
  <c r="Q42" i="4"/>
  <c r="Q43" i="4"/>
  <c r="Q44" i="4"/>
  <c r="Q45" i="4"/>
  <c r="Q46" i="4"/>
  <c r="Q47" i="4"/>
  <c r="Q48" i="4"/>
  <c r="Q49" i="4"/>
  <c r="Q50" i="4"/>
  <c r="Q51" i="4"/>
  <c r="Q52" i="4"/>
  <c r="Q53" i="4"/>
  <c r="Q54" i="4"/>
  <c r="Q55" i="4"/>
  <c r="Q56" i="4"/>
  <c r="Q57" i="4"/>
  <c r="Q58" i="4"/>
  <c r="Q59" i="4"/>
  <c r="Q60" i="4"/>
  <c r="Q61" i="4"/>
  <c r="Q62" i="4"/>
  <c r="Q63" i="4"/>
  <c r="Q64" i="4"/>
  <c r="Q65" i="4"/>
  <c r="Q66" i="4"/>
  <c r="Q67" i="4"/>
  <c r="Q68" i="4"/>
  <c r="Q69" i="4"/>
  <c r="Q70" i="4"/>
  <c r="Q71" i="4"/>
  <c r="Q72" i="4"/>
  <c r="Q73" i="4"/>
  <c r="Q74" i="4"/>
  <c r="Q75" i="4"/>
  <c r="Q76" i="4"/>
  <c r="Q77" i="4"/>
  <c r="Q78" i="4"/>
  <c r="Q79" i="4"/>
  <c r="Q80" i="4"/>
  <c r="Q81" i="4"/>
  <c r="Q82" i="4"/>
  <c r="Q83" i="4"/>
  <c r="Q84" i="4"/>
  <c r="Q85" i="4"/>
  <c r="Q86" i="4"/>
  <c r="Q87" i="4"/>
  <c r="Q88" i="4"/>
  <c r="Q89" i="4"/>
  <c r="Q90" i="4"/>
  <c r="Q91" i="4"/>
  <c r="Q92" i="4"/>
  <c r="Q93" i="4"/>
  <c r="Q94" i="4"/>
  <c r="Q95" i="4"/>
  <c r="Q96" i="4"/>
  <c r="Q97" i="4"/>
  <c r="Q98" i="4"/>
  <c r="Q99" i="4"/>
  <c r="Q100" i="4"/>
  <c r="Q101" i="4"/>
  <c r="Q102" i="4"/>
  <c r="Q103" i="4"/>
  <c r="Q104" i="4"/>
  <c r="Q105" i="4"/>
  <c r="Q106" i="4"/>
  <c r="Q107" i="4"/>
  <c r="Q108" i="4"/>
  <c r="Q109" i="4"/>
  <c r="Q110" i="4"/>
  <c r="Q111" i="4"/>
  <c r="Q112" i="4"/>
  <c r="Q113" i="4"/>
  <c r="Q114" i="4"/>
  <c r="Q115" i="4"/>
  <c r="Q116" i="4"/>
  <c r="Q117" i="4"/>
  <c r="Q118" i="4"/>
  <c r="Q119" i="4"/>
  <c r="Q120" i="4"/>
  <c r="Q121" i="4"/>
  <c r="Q122" i="4"/>
  <c r="Q123" i="4"/>
  <c r="Q124" i="4"/>
  <c r="Q125" i="4"/>
  <c r="Q126" i="4"/>
  <c r="Q127" i="4"/>
  <c r="Q128" i="4"/>
  <c r="Q129" i="4"/>
  <c r="Q130" i="4"/>
  <c r="Q131" i="4"/>
  <c r="Q132" i="4"/>
  <c r="Q133" i="4"/>
  <c r="Q134" i="4"/>
  <c r="Q135" i="4"/>
  <c r="Q136" i="4"/>
  <c r="Q137" i="4"/>
  <c r="Q138" i="4"/>
  <c r="Q139" i="4"/>
  <c r="Q140" i="4"/>
  <c r="Q141" i="4"/>
  <c r="Q142" i="4"/>
  <c r="Q143" i="4"/>
  <c r="Q144" i="4"/>
  <c r="Q145" i="4"/>
  <c r="Q146" i="4"/>
  <c r="Q147" i="4"/>
  <c r="Q148" i="4"/>
  <c r="Q149" i="4"/>
  <c r="Q150" i="4"/>
  <c r="Q151" i="4"/>
  <c r="Q152" i="4"/>
  <c r="Q153" i="4"/>
  <c r="Q154" i="4"/>
  <c r="Q155" i="4"/>
  <c r="Q156" i="4"/>
  <c r="Q157" i="4"/>
  <c r="Q158" i="4"/>
  <c r="Q159" i="4"/>
  <c r="Q160" i="4"/>
  <c r="Q161" i="4"/>
  <c r="Q162" i="4"/>
  <c r="Q163" i="4"/>
  <c r="Q164" i="4"/>
  <c r="Q165" i="4"/>
  <c r="Q166" i="4"/>
  <c r="Q167" i="4"/>
  <c r="Q168" i="4"/>
  <c r="Q169" i="4"/>
  <c r="Q170" i="4"/>
  <c r="Q171" i="4"/>
  <c r="Q172" i="4"/>
  <c r="Q173" i="4"/>
  <c r="Q174" i="4"/>
  <c r="Q175" i="4"/>
  <c r="Q176" i="4"/>
  <c r="Q177" i="4"/>
  <c r="Q178" i="4"/>
  <c r="Q7" i="4"/>
  <c r="L9" i="4" l="1"/>
  <c r="L8" i="4"/>
  <c r="L10" i="4"/>
  <c r="D8" i="4"/>
  <c r="F8" i="4" s="1"/>
  <c r="L11" i="4"/>
  <c r="D50" i="12"/>
  <c r="E50" i="12"/>
  <c r="F50" i="12"/>
  <c r="G50" i="12"/>
  <c r="H50" i="12"/>
  <c r="D51" i="12"/>
  <c r="E51" i="12"/>
  <c r="F51" i="12"/>
  <c r="G51" i="12"/>
  <c r="H51" i="12"/>
  <c r="D52" i="12"/>
  <c r="E52" i="12"/>
  <c r="F52" i="12"/>
  <c r="G52" i="12"/>
  <c r="H52" i="12"/>
  <c r="D53" i="12"/>
  <c r="E53" i="12"/>
  <c r="F53" i="12"/>
  <c r="G53" i="12"/>
  <c r="H53" i="12"/>
  <c r="D54" i="12"/>
  <c r="E54" i="12"/>
  <c r="F54" i="12"/>
  <c r="G54" i="12"/>
  <c r="H54" i="12"/>
  <c r="D55" i="12"/>
  <c r="E55" i="12"/>
  <c r="F55" i="12"/>
  <c r="G55" i="12"/>
  <c r="H55" i="12"/>
  <c r="D56" i="12"/>
  <c r="E56" i="12"/>
  <c r="F56" i="12"/>
  <c r="G56" i="12"/>
  <c r="H56" i="12"/>
  <c r="D57" i="12"/>
  <c r="E57" i="12"/>
  <c r="F57" i="12"/>
  <c r="G57" i="12"/>
  <c r="H57" i="12"/>
  <c r="D58" i="12"/>
  <c r="E58" i="12"/>
  <c r="F58" i="12"/>
  <c r="G58" i="12"/>
  <c r="H58" i="12"/>
  <c r="D59" i="12"/>
  <c r="E59" i="12"/>
  <c r="F59" i="12"/>
  <c r="G59" i="12"/>
  <c r="H59" i="12"/>
  <c r="D60" i="12"/>
  <c r="E60" i="12"/>
  <c r="F60" i="12"/>
  <c r="G60" i="12"/>
  <c r="H60" i="12"/>
  <c r="D61" i="12"/>
  <c r="E61" i="12"/>
  <c r="F61" i="12"/>
  <c r="G61" i="12"/>
  <c r="H61" i="12"/>
  <c r="D62" i="12"/>
  <c r="E62" i="12"/>
  <c r="F62" i="12"/>
  <c r="G62" i="12"/>
  <c r="H62" i="12"/>
  <c r="G49" i="12"/>
  <c r="H49" i="12" s="1"/>
  <c r="F49" i="12"/>
  <c r="E49" i="12"/>
  <c r="D49" i="12"/>
  <c r="C53" i="12"/>
  <c r="C54" i="12" s="1"/>
  <c r="C55" i="12" s="1"/>
  <c r="C56" i="12" s="1"/>
  <c r="C57" i="12" s="1"/>
  <c r="C58" i="12" s="1"/>
  <c r="C59" i="12" s="1"/>
  <c r="C60" i="12" s="1"/>
  <c r="C61" i="12" s="1"/>
  <c r="C62" i="12" s="1"/>
  <c r="C52" i="12"/>
  <c r="C51" i="12"/>
  <c r="C50" i="12"/>
  <c r="B34" i="12" l="1"/>
  <c r="D32" i="12"/>
  <c r="D33" i="12"/>
  <c r="E33" i="12" s="1"/>
  <c r="F33" i="12" s="1"/>
  <c r="G33" i="12" s="1"/>
  <c r="H33" i="12" s="1"/>
  <c r="C34" i="12"/>
  <c r="C35" i="12" s="1"/>
  <c r="C36" i="12" s="1"/>
  <c r="C37" i="12" s="1"/>
  <c r="C38" i="12" s="1"/>
  <c r="C39" i="12" s="1"/>
  <c r="C40" i="12" s="1"/>
  <c r="C41" i="12" s="1"/>
  <c r="C42" i="12" s="1"/>
  <c r="C43" i="12" s="1"/>
  <c r="C44" i="12" s="1"/>
  <c r="C45" i="12" s="1"/>
  <c r="C46" i="12" s="1"/>
  <c r="A31" i="12"/>
  <c r="A30" i="12"/>
  <c r="B29" i="12"/>
  <c r="A29" i="12"/>
  <c r="A28" i="12"/>
  <c r="A27" i="12"/>
  <c r="B26" i="12"/>
  <c r="B27" i="12" s="1"/>
  <c r="B28" i="12" s="1"/>
  <c r="A26" i="12"/>
  <c r="E51" i="11"/>
  <c r="E52" i="11"/>
  <c r="E53" i="11"/>
  <c r="E54" i="11"/>
  <c r="E55" i="11"/>
  <c r="E56" i="11"/>
  <c r="E57" i="11"/>
  <c r="E58" i="11"/>
  <c r="E59" i="11"/>
  <c r="E60" i="11"/>
  <c r="E61" i="11"/>
  <c r="E62" i="11"/>
  <c r="E50" i="11"/>
  <c r="B50" i="11"/>
  <c r="C50" i="11" s="1"/>
  <c r="E34" i="11"/>
  <c r="B35" i="11"/>
  <c r="B36" i="11" s="1"/>
  <c r="B37" i="11" s="1"/>
  <c r="B38" i="11" s="1"/>
  <c r="B39" i="11" s="1"/>
  <c r="B40" i="11" s="1"/>
  <c r="B41" i="11" s="1"/>
  <c r="B42" i="11" s="1"/>
  <c r="B43" i="11" s="1"/>
  <c r="B44" i="11" s="1"/>
  <c r="B45" i="11" s="1"/>
  <c r="B46" i="11" s="1"/>
  <c r="B47" i="11" s="1"/>
  <c r="A31" i="11"/>
  <c r="A30" i="11"/>
  <c r="B29" i="11"/>
  <c r="C34" i="11" s="1"/>
  <c r="A29" i="11"/>
  <c r="A28" i="11"/>
  <c r="A27" i="11"/>
  <c r="B26" i="11"/>
  <c r="B31" i="11" s="1"/>
  <c r="E26" i="11" s="1"/>
  <c r="A26" i="11"/>
  <c r="B31" i="7"/>
  <c r="A31" i="7"/>
  <c r="A30" i="10"/>
  <c r="B29" i="10"/>
  <c r="A29" i="10"/>
  <c r="A28" i="10"/>
  <c r="A27" i="10"/>
  <c r="B26" i="10"/>
  <c r="B27" i="10" s="1"/>
  <c r="B28" i="10" s="1"/>
  <c r="A26" i="10"/>
  <c r="A30" i="7"/>
  <c r="B29" i="7"/>
  <c r="A29" i="7"/>
  <c r="A28" i="7"/>
  <c r="B27" i="7"/>
  <c r="B28" i="7" s="1"/>
  <c r="A27" i="7"/>
  <c r="B26" i="7"/>
  <c r="A26" i="7"/>
  <c r="B27" i="11" l="1"/>
  <c r="B28" i="11" s="1"/>
  <c r="D34" i="11" s="1"/>
  <c r="D50" i="11"/>
  <c r="E29" i="11"/>
  <c r="F26" i="11"/>
  <c r="B31" i="12"/>
  <c r="B30" i="12"/>
  <c r="B51" i="11"/>
  <c r="D51" i="11"/>
  <c r="F50" i="11"/>
  <c r="B30" i="10"/>
  <c r="B30" i="7"/>
  <c r="B30" i="11" l="1"/>
  <c r="F34" i="11" s="1"/>
  <c r="B52" i="11"/>
  <c r="C51" i="11"/>
  <c r="F51" i="11" s="1"/>
  <c r="B53" i="11" l="1"/>
  <c r="C52" i="11"/>
  <c r="D52" i="11"/>
  <c r="B54" i="11" l="1"/>
  <c r="C53" i="11"/>
  <c r="D53" i="11"/>
  <c r="F52" i="11"/>
  <c r="F53" i="11" l="1"/>
  <c r="B55" i="11"/>
  <c r="C54" i="11"/>
  <c r="D54" i="11"/>
  <c r="F54" i="11" l="1"/>
  <c r="B56" i="11"/>
  <c r="C55" i="11"/>
  <c r="D55" i="11"/>
  <c r="F55" i="11" s="1"/>
  <c r="B57" i="11" l="1"/>
  <c r="D56" i="11"/>
  <c r="C56" i="11"/>
  <c r="F56" i="11" s="1"/>
  <c r="B58" i="11" l="1"/>
  <c r="C57" i="11"/>
  <c r="D57" i="11"/>
  <c r="F57" i="11" l="1"/>
  <c r="B59" i="11"/>
  <c r="C58" i="11"/>
  <c r="D58" i="11"/>
  <c r="F58" i="11" l="1"/>
  <c r="B60" i="11"/>
  <c r="C59" i="11"/>
  <c r="D59" i="11"/>
  <c r="F59" i="11" s="1"/>
  <c r="B61" i="11" l="1"/>
  <c r="D60" i="11"/>
  <c r="C60" i="11"/>
  <c r="F60" i="11" s="1"/>
  <c r="C61" i="11" l="1"/>
  <c r="B62" i="11"/>
  <c r="D61" i="11"/>
  <c r="C62" i="11" l="1"/>
  <c r="D62" i="11"/>
  <c r="F61" i="11"/>
  <c r="F62" i="11" l="1"/>
</calcChain>
</file>

<file path=xl/sharedStrings.xml><?xml version="1.0" encoding="utf-8"?>
<sst xmlns="http://schemas.openxmlformats.org/spreadsheetml/2006/main" count="414" uniqueCount="294">
  <si>
    <t>Good Spreadsheet Model Building:</t>
  </si>
  <si>
    <t>6) Use appropriate Number &amp; Stylistic Formatting to make the spreadsheet easy to understand.</t>
  </si>
  <si>
    <t>Remember: Number Formatting is a Facade.</t>
  </si>
  <si>
    <t>7) Keep default alignments to visually portray the data type (Numbers to the right, Text to the left)</t>
  </si>
  <si>
    <t>8) Name all sheets and files smartly.</t>
  </si>
  <si>
    <t>9) Sometimes it is helpful to create math formulas or a influence diagram to describe your model.</t>
  </si>
  <si>
    <t>Goal Seek</t>
  </si>
  <si>
    <t>Data Tables</t>
  </si>
  <si>
    <t>Chart</t>
  </si>
  <si>
    <t>Model 01: FC/VC Example</t>
  </si>
  <si>
    <t>Model 03: Calculate Total Shipping Costs</t>
  </si>
  <si>
    <t>Build Formula Input Area and Model area separately</t>
  </si>
  <si>
    <t>Model 02: Calculate Total Revenue from Transactional Data and Lookup Tables</t>
  </si>
  <si>
    <t>refer to it in the formula with a cell reference.</t>
  </si>
  <si>
    <t>2) Label all formula inputs.</t>
  </si>
  <si>
    <t>3) Separate the formula input area from the model area.</t>
  </si>
  <si>
    <t>4) Model is where you create your formulas and where you can put your decision variable.</t>
  </si>
  <si>
    <t>5) Label all elements in the model area.</t>
  </si>
  <si>
    <t>1) Excel’s Golden Rule: If formula input (parameter, assumption, variable) can change put it in a cell and</t>
  </si>
  <si>
    <t>Date</t>
  </si>
  <si>
    <t>and up</t>
  </si>
  <si>
    <t>SUM, VLOOKUP, COUNTIFS, SUMPRODUCT and LOOKUP functions.</t>
  </si>
  <si>
    <t>Price per Roll (100 feet)</t>
  </si>
  <si>
    <t>Seattle, Washington</t>
  </si>
  <si>
    <t>Milwaukee, Wisconsin</t>
  </si>
  <si>
    <t>Birmingham, Alabama</t>
  </si>
  <si>
    <t>Oakland, California</t>
  </si>
  <si>
    <t>City</t>
  </si>
  <si>
    <t>State</t>
  </si>
  <si>
    <t>Zip Code</t>
  </si>
  <si>
    <t>98108</t>
  </si>
  <si>
    <t>53203</t>
  </si>
  <si>
    <t>35203</t>
  </si>
  <si>
    <t>94612</t>
  </si>
  <si>
    <t>Chandler</t>
  </si>
  <si>
    <t>Arizona</t>
  </si>
  <si>
    <t>85225</t>
  </si>
  <si>
    <t>Glendale</t>
  </si>
  <si>
    <t>85302</t>
  </si>
  <si>
    <t>Mesa</t>
  </si>
  <si>
    <t>85201</t>
  </si>
  <si>
    <t>Scottsdale</t>
  </si>
  <si>
    <t>85251</t>
  </si>
  <si>
    <t>Little Rock</t>
  </si>
  <si>
    <t>Arkansas</t>
  </si>
  <si>
    <t>72202</t>
  </si>
  <si>
    <t>Antioch</t>
  </si>
  <si>
    <t>California</t>
  </si>
  <si>
    <t>94509</t>
  </si>
  <si>
    <t>Berkeley</t>
  </si>
  <si>
    <t>94704</t>
  </si>
  <si>
    <t>Chula Vista</t>
  </si>
  <si>
    <t>91910</t>
  </si>
  <si>
    <t>Concord</t>
  </si>
  <si>
    <t>94520</t>
  </si>
  <si>
    <t>Daly City</t>
  </si>
  <si>
    <t>94015</t>
  </si>
  <si>
    <t>Fairfield</t>
  </si>
  <si>
    <t>94533</t>
  </si>
  <si>
    <t>Hayward</t>
  </si>
  <si>
    <t>94544</t>
  </si>
  <si>
    <t>Huntington Beach</t>
  </si>
  <si>
    <t>92647</t>
  </si>
  <si>
    <t>Long Beach</t>
  </si>
  <si>
    <t>90802</t>
  </si>
  <si>
    <t>Modesto</t>
  </si>
  <si>
    <t>95350</t>
  </si>
  <si>
    <t>Santa Clara</t>
  </si>
  <si>
    <t>95050</t>
  </si>
  <si>
    <t>Sunnyvale</t>
  </si>
  <si>
    <t>94086</t>
  </si>
  <si>
    <t>Thousand Oaks</t>
  </si>
  <si>
    <t>91362</t>
  </si>
  <si>
    <t>Vallejo</t>
  </si>
  <si>
    <t>94590</t>
  </si>
  <si>
    <t>Aurora</t>
  </si>
  <si>
    <t>Colorado</t>
  </si>
  <si>
    <t>80017</t>
  </si>
  <si>
    <t>Colorado Springs</t>
  </si>
  <si>
    <t>80903</t>
  </si>
  <si>
    <t>Denver</t>
  </si>
  <si>
    <t>80202</t>
  </si>
  <si>
    <t>Chicago</t>
  </si>
  <si>
    <t>Illinois</t>
  </si>
  <si>
    <t>60607</t>
  </si>
  <si>
    <t>Joliet</t>
  </si>
  <si>
    <t>60436</t>
  </si>
  <si>
    <t>Evansville</t>
  </si>
  <si>
    <t>Indiana</t>
  </si>
  <si>
    <t>47708</t>
  </si>
  <si>
    <t>Fort Wayne</t>
  </si>
  <si>
    <t>46802</t>
  </si>
  <si>
    <t>Cedar Rapids</t>
  </si>
  <si>
    <t>Iowa</t>
  </si>
  <si>
    <t>52401</t>
  </si>
  <si>
    <t>Kansas City</t>
  </si>
  <si>
    <t>Kansas</t>
  </si>
  <si>
    <t>66106</t>
  </si>
  <si>
    <t>Topeka</t>
  </si>
  <si>
    <t>66603</t>
  </si>
  <si>
    <t>Lexington-Fayette</t>
  </si>
  <si>
    <t>Kentucky</t>
  </si>
  <si>
    <t>40511</t>
  </si>
  <si>
    <t>Louisville-Jefferson County5</t>
  </si>
  <si>
    <t>40231</t>
  </si>
  <si>
    <t>New Orleans</t>
  </si>
  <si>
    <t>Louisiana</t>
  </si>
  <si>
    <t>70113</t>
  </si>
  <si>
    <t>Baltimore</t>
  </si>
  <si>
    <t>Maryland</t>
  </si>
  <si>
    <t>21202</t>
  </si>
  <si>
    <t>Ann Arbor</t>
  </si>
  <si>
    <t>Michigan</t>
  </si>
  <si>
    <t>48104</t>
  </si>
  <si>
    <t>Detroit</t>
  </si>
  <si>
    <t>48233</t>
  </si>
  <si>
    <t>St. Paul</t>
  </si>
  <si>
    <t>Minnesota</t>
  </si>
  <si>
    <t>55109</t>
  </si>
  <si>
    <t>Missouri</t>
  </si>
  <si>
    <t>64108</t>
  </si>
  <si>
    <t>St. Louis</t>
  </si>
  <si>
    <t>63155</t>
  </si>
  <si>
    <t>Omaha</t>
  </si>
  <si>
    <t>Nebraska</t>
  </si>
  <si>
    <t>68108</t>
  </si>
  <si>
    <t>Henderson</t>
  </si>
  <si>
    <t>Nevada</t>
  </si>
  <si>
    <t>89015</t>
  </si>
  <si>
    <t>Reno</t>
  </si>
  <si>
    <t>89510</t>
  </si>
  <si>
    <t>Manchester</t>
  </si>
  <si>
    <t>New Hampshire</t>
  </si>
  <si>
    <t>03103</t>
  </si>
  <si>
    <t>Elizabeth</t>
  </si>
  <si>
    <t>New Jersey</t>
  </si>
  <si>
    <t>07208</t>
  </si>
  <si>
    <t>Jersey City</t>
  </si>
  <si>
    <t>07302</t>
  </si>
  <si>
    <t>Newark</t>
  </si>
  <si>
    <t>07102</t>
  </si>
  <si>
    <t>New York</t>
  </si>
  <si>
    <t>10199</t>
  </si>
  <si>
    <t>Yonkers</t>
  </si>
  <si>
    <t>10701</t>
  </si>
  <si>
    <t>Cary</t>
  </si>
  <si>
    <t>North Carolina</t>
  </si>
  <si>
    <t>27511</t>
  </si>
  <si>
    <t>Durham</t>
  </si>
  <si>
    <t>27701</t>
  </si>
  <si>
    <t>Cincinnati</t>
  </si>
  <si>
    <t>Ohio</t>
  </si>
  <si>
    <t>45225</t>
  </si>
  <si>
    <t>Cleveland</t>
  </si>
  <si>
    <t>44101</t>
  </si>
  <si>
    <t>Norman</t>
  </si>
  <si>
    <t>Oklahoma</t>
  </si>
  <si>
    <t>73019</t>
  </si>
  <si>
    <t>Tulsa</t>
  </si>
  <si>
    <t>74107</t>
  </si>
  <si>
    <t>Eugene</t>
  </si>
  <si>
    <t>Oregon</t>
  </si>
  <si>
    <t>97401</t>
  </si>
  <si>
    <t>Portland</t>
  </si>
  <si>
    <t>97208</t>
  </si>
  <si>
    <t>Philadelphia</t>
  </si>
  <si>
    <t>Pennsylvania</t>
  </si>
  <si>
    <t>19104</t>
  </si>
  <si>
    <t>Pittsburgh</t>
  </si>
  <si>
    <t>15290</t>
  </si>
  <si>
    <t>Providence</t>
  </si>
  <si>
    <t>Rhode Island</t>
  </si>
  <si>
    <t>02904</t>
  </si>
  <si>
    <t>Columbia</t>
  </si>
  <si>
    <t>South Carolina</t>
  </si>
  <si>
    <t>29201</t>
  </si>
  <si>
    <t>Sioux Falls</t>
  </si>
  <si>
    <t>South Dakota</t>
  </si>
  <si>
    <t>57104</t>
  </si>
  <si>
    <t>Clarksville</t>
  </si>
  <si>
    <t>Tennessee</t>
  </si>
  <si>
    <t>37043</t>
  </si>
  <si>
    <t>Killeen</t>
  </si>
  <si>
    <t>Texas</t>
  </si>
  <si>
    <t>76541</t>
  </si>
  <si>
    <t>Laredo</t>
  </si>
  <si>
    <t>78041</t>
  </si>
  <si>
    <t>Mesquite</t>
  </si>
  <si>
    <t>75149</t>
  </si>
  <si>
    <t>Alexandria</t>
  </si>
  <si>
    <t>Virginia</t>
  </si>
  <si>
    <t>22314</t>
  </si>
  <si>
    <t>Hampton</t>
  </si>
  <si>
    <t>23607</t>
  </si>
  <si>
    <t>Seattle</t>
  </si>
  <si>
    <t>Washington</t>
  </si>
  <si>
    <t>Spokane</t>
  </si>
  <si>
    <t>99201</t>
  </si>
  <si>
    <t>Green Bay</t>
  </si>
  <si>
    <t>Wisconsin</t>
  </si>
  <si>
    <t>54303</t>
  </si>
  <si>
    <t>Madison</t>
  </si>
  <si>
    <t>53714</t>
  </si>
  <si>
    <t>Number of Rolls</t>
  </si>
  <si>
    <t>Units From</t>
  </si>
  <si>
    <t>Units To</t>
  </si>
  <si>
    <t>Pricing Table:</t>
  </si>
  <si>
    <t>Customer List of Destination Zip Codes for current transactions:</t>
  </si>
  <si>
    <t>A company that sells rolls of fence needs to calculate total revenue from a list of customer transactions and a pricing table.</t>
  </si>
  <si>
    <t>Data set with number of rolls of fence sold for each transaction:</t>
  </si>
  <si>
    <t>Given the transactional data table with the number of rolls of fence sold for each transaction and the pricing table,</t>
  </si>
  <si>
    <t>calculate total revenue and count the number of transactions that fell into each pricing category.</t>
  </si>
  <si>
    <t>Shipping Center Source Zip Code with Miles from Shipping Center to Destination:</t>
  </si>
  <si>
    <t>For each customer, determine which Shipping Center has the shortest distance and then calculate the total shipping charge for each customer transaction.</t>
  </si>
  <si>
    <t>Good Spreadsheet Model Design</t>
  </si>
  <si>
    <t>Formula Inputs (Parameters, Assumptions, Variables)</t>
  </si>
  <si>
    <t>Gel Boomerangs</t>
  </si>
  <si>
    <t>Product to be made</t>
  </si>
  <si>
    <t>Quad</t>
  </si>
  <si>
    <t>Manufactures Boomerangs</t>
  </si>
  <si>
    <t>Material costs per unit = MC</t>
  </si>
  <si>
    <t>Labor Costs per units = LC</t>
  </si>
  <si>
    <t>Assigned Indirect Costs per unit = IC</t>
  </si>
  <si>
    <t>Revenue = R</t>
  </si>
  <si>
    <t>Goal:</t>
  </si>
  <si>
    <t>Math Formula:</t>
  </si>
  <si>
    <t>Variable cost per unit = VC = MC + IC + LC</t>
  </si>
  <si>
    <t>Model: Calculate Total Profit Based on Quantity</t>
  </si>
  <si>
    <t>Decision Variable</t>
  </si>
  <si>
    <t>Total Variable Costs = TVC(q) = VC*q</t>
  </si>
  <si>
    <t>Total Revenue = TR(q) = R*q*(1-D)</t>
  </si>
  <si>
    <t>Total Costs = TC(q) = FC + TVC(q)</t>
  </si>
  <si>
    <t>Total Profit = TP(q) =TR(q) - TC(q)</t>
  </si>
  <si>
    <t>Unit Break Even Point = UBE = FC/(R*(1-D)-VC)</t>
  </si>
  <si>
    <t>Quantity</t>
  </si>
  <si>
    <t>Data Table Start Unit Value</t>
  </si>
  <si>
    <t>Data Table Unit Increment Value</t>
  </si>
  <si>
    <t>Total Revenue</t>
  </si>
  <si>
    <t>Total Costs</t>
  </si>
  <si>
    <t>Fixed Costs</t>
  </si>
  <si>
    <t>Total Profit</t>
  </si>
  <si>
    <t xml:space="preserve"> &lt;&lt;== Formulas From Original Model (q = 2000)</t>
  </si>
  <si>
    <t>What-If Analysis: Data Table, 1 Variable:</t>
  </si>
  <si>
    <t>What-If Analysis: Formulas</t>
  </si>
  <si>
    <t>Units</t>
  </si>
  <si>
    <t>Defect Rate Start Value</t>
  </si>
  <si>
    <t>Defect Rate Increment Value</t>
  </si>
  <si>
    <t>Formula From Original Model (q = 2000) ==&gt;&gt;</t>
  </si>
  <si>
    <t>What-If Analysis: Formula Version for  2 Variable:</t>
  </si>
  <si>
    <t>Units/Defect %</t>
  </si>
  <si>
    <t>X</t>
  </si>
  <si>
    <t>Y</t>
  </si>
  <si>
    <t>BEU Label:</t>
  </si>
  <si>
    <t>Price</t>
  </si>
  <si>
    <t>Revenue</t>
  </si>
  <si>
    <t>Total Revenue
Helper Column</t>
  </si>
  <si>
    <t>LOOKUP to get Price:</t>
  </si>
  <si>
    <t>Total Revenue
Single Cell Formula</t>
  </si>
  <si>
    <t>Count Transactions in Each Price Category</t>
  </si>
  <si>
    <t>A Compressor Sales Company has four shipping centers. It delevers the compressors to customers by truck. The per mile shipping charge is $3.11 with a minimum charge of $75.</t>
  </si>
  <si>
    <t>Min Distance</t>
  </si>
  <si>
    <t>Shipping Center</t>
  </si>
  <si>
    <t>Total Shipping Charge</t>
  </si>
  <si>
    <t>Per Mile Shipping Charge</t>
  </si>
  <si>
    <t>Minimum Charge</t>
  </si>
  <si>
    <t>MIN, INDEX, MATCH, IF functions.</t>
  </si>
  <si>
    <t>When "By Change Cells" was the "Quantity" Variable, Goal Seek gave us break even  Total Profit of $0 when the units were changed to 2,661.</t>
  </si>
  <si>
    <t>When "By Change Cells" was the "Revenue" Variable, Goal Seek gave us break even  Total Profit of $0 when the Revenue was changed to $18.71</t>
  </si>
  <si>
    <t>6) On the Data Ribbon, we go to the Data Tools group, then click on the What-If Analysis dropdown arrow, then click Data Table.</t>
  </si>
  <si>
    <t>7) Keyboard for Data Table: Alt, A, W, T or Alt, D, T</t>
  </si>
  <si>
    <t>9) When you click OK, the Array Function TABLE is automatically entered as an Array Formula (notice the curly brackets in the formula bar)</t>
  </si>
  <si>
    <t>**Note: the use of "Column input cell" may seem backwards if you are used to using PivotTables where we have "Row area" Criteria and "Column area" criteria. This is an inconsistency on Microsoft's part.</t>
  </si>
  <si>
    <t>1) You must have a formula that uses formula inputs. We have that in cell B30. It is the Total Profit = TP(q) =TR(q) - TC(q) formula.</t>
  </si>
  <si>
    <t>2) The B30 formula is pointing to two previous formulas (cells B28 and B29) that use the formula input from cell B25 (our decision variable).</t>
  </si>
  <si>
    <t>3) In cell C34, create a formula that points to the Total Profit = TP(q) =TR(q) - TC(q) formula.</t>
  </si>
  <si>
    <t>4) Because we want to see how the "Total Profit" formula will change when we change the Decision Variable, "Quantity", we create a column of the new quantity inputs for quantity in the range B35:B47.</t>
  </si>
  <si>
    <t>8) Because out New Inputs for "Quantity" are in a column, we click in the "Column input cell" textbox and then click on the cell that contains the Decision Variable, "Quantity", cell B25.</t>
  </si>
  <si>
    <t>10) This TABLE function automatically takes the formula in cell B30 (which is using the two previous formulas in cells B28 and B29) and substitutes the New Inputs for Quantities and displays the results in the range C35:C47.</t>
  </si>
  <si>
    <t>5) We highlight the range B34:C47, with the range C35:C47 containing empty cells.</t>
  </si>
  <si>
    <t>10) When you click OK, the Array Function TABLE is automatically entered as an Array Formula (notice the curly brackets in the formula bar)</t>
  </si>
  <si>
    <t>**Note: the use of "Column input cell" and "Row input cell" may seem backwards if you are used to using PivotTables where we have "Row area" Criteria and "Column area" criteria. This is an inconsistency on Microsoft's part.</t>
  </si>
  <si>
    <t>Steps to create Data Table:</t>
  </si>
  <si>
    <t>2) The B30 formula is pointing to two previous formulas (cells B28 and B29) that use the formula inputs from cell B25 (our decision variable) and from cell B9 (Defect Rate).</t>
  </si>
  <si>
    <t>3) In cell C33, create a formula that points to the "Total Revenue" formula. This must be in the upper left corner!!!!</t>
  </si>
  <si>
    <t>4) Because we want to see how the "Total Revenue" formula will change when we change the Decision Variable, "Quantity" and "Defect Rate", we create a column of the new quantity inputs for quantity in the range C34:C46 and a row of new costs in the range D33:H33.</t>
  </si>
  <si>
    <t>5) We highlight the range C33:H46, with the range D34:H46 containing empty cells.</t>
  </si>
  <si>
    <t>8) Because our New Inputs for "Quantity" are in a column, we click in the "Column input cell" textbox and then click on the cell that contains the Decision Variable, "Quantity", cell B25.</t>
  </si>
  <si>
    <t>9) Because our New Inputs for "Defect Rate" are in a row, we click in the "Row input cell" textbox and then click on the cell that contains the Variable, "Defect Rate", cell B9.</t>
  </si>
  <si>
    <t>11) This TABLE function automatically takes the formula in cell B30 (which is using the two previous formulas in cells B25 and B9) and substitutes the New Inputs for Quantities and Defect Rate into the TABLE function formula and displays the results in the range D34:H46.</t>
  </si>
  <si>
    <t>Steps for 2 Variable Data Table:</t>
  </si>
  <si>
    <t>% of boomerangs made, but not sold (defects &amp; returns) = D</t>
  </si>
  <si>
    <t>Total Fixed Costs = FC</t>
  </si>
  <si>
    <t>Calculate and Analyze Profit</t>
  </si>
  <si>
    <t>Production Volume = Units Produced = Quantity = q</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</si>
</sst>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quot;$&quot;#,##0.00"/>
    <numFmt numFmtId="165" formatCode="&quot;$&quot;#,##0"/>
  </numFmts>
  <fonts count="10" x14ac:knownFonts="1">
    <font>
      <sz val="11"/>
      <color theme="1"/>
      <name val="Calibri"/>
      <family val="2"/>
      <scheme val="minor"/>
    </font>
    <font>
      <sz val="11"/>
      <color theme="1"/>
      <name val="Calibri"/>
      <family val="2"/>
      <scheme val="minor"/>
    </font>
    <font>
      <b/>
      <sz val="11"/>
      <color theme="1"/>
      <name val="Calibri"/>
      <family val="2"/>
      <scheme val="minor"/>
    </font>
    <font>
      <sz val="11"/>
      <color theme="0"/>
      <name val="Calibri"/>
      <family val="2"/>
      <scheme val="minor"/>
    </font>
    <font>
      <sz val="12"/>
      <color theme="1"/>
      <name val="Times New Roman"/>
      <family val="2"/>
    </font>
    <font>
      <sz val="12"/>
      <color theme="1"/>
      <name val="Calibri"/>
      <family val="2"/>
      <scheme val="minor"/>
    </font>
    <font>
      <sz val="12"/>
      <color theme="0"/>
      <name val="Calibri"/>
      <family val="2"/>
      <scheme val="minor"/>
    </font>
    <font>
      <b/>
      <sz val="12"/>
      <color rgb="FFFF0000"/>
      <name val="Calibri"/>
      <family val="2"/>
      <scheme val="minor"/>
    </font>
    <font>
      <b/>
      <sz val="11"/>
      <color rgb="FFFF0000"/>
      <name val="Calibri"/>
      <family val="2"/>
      <scheme val="minor"/>
    </font>
    <font>
      <b/>
      <sz val="12"/>
      <color theme="1"/>
      <name val="Calibri"/>
      <family val="2"/>
      <scheme val="minor"/>
    </font>
  </fonts>
  <fills count="8">
    <fill>
      <patternFill patternType="none"/>
    </fill>
    <fill>
      <patternFill patternType="gray125"/>
    </fill>
    <fill>
      <patternFill patternType="solid">
        <fgColor rgb="FF002060"/>
        <bgColor indexed="64"/>
      </patternFill>
    </fill>
    <fill>
      <patternFill patternType="solid">
        <fgColor theme="7" tint="0.79998168889431442"/>
        <bgColor indexed="64"/>
      </patternFill>
    </fill>
    <fill>
      <patternFill patternType="solid">
        <fgColor rgb="FFFF0000"/>
        <bgColor indexed="64"/>
      </patternFill>
    </fill>
    <fill>
      <patternFill patternType="solid">
        <fgColor rgb="FF0000FF"/>
        <bgColor indexed="64"/>
      </patternFill>
    </fill>
    <fill>
      <patternFill patternType="solid">
        <fgColor rgb="FFCCFFCC"/>
        <bgColor indexed="64"/>
      </patternFill>
    </fill>
    <fill>
      <patternFill patternType="solid">
        <fgColor rgb="FF0070C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4" fillId="0" borderId="0"/>
    <xf numFmtId="9" fontId="4" fillId="0" borderId="0" applyFont="0" applyFill="0" applyBorder="0" applyAlignment="0" applyProtection="0"/>
  </cellStyleXfs>
  <cellXfs count="70">
    <xf numFmtId="0" fontId="0" fillId="0" borderId="0" xfId="0"/>
    <xf numFmtId="0" fontId="2" fillId="0" borderId="0" xfId="0" applyFont="1"/>
    <xf numFmtId="0" fontId="0" fillId="0" borderId="0" xfId="0" applyAlignment="1">
      <alignment horizontal="left" indent="2"/>
    </xf>
    <xf numFmtId="0" fontId="0" fillId="0" borderId="0" xfId="0" applyAlignment="1">
      <alignment horizontal="left" indent="1"/>
    </xf>
    <xf numFmtId="0" fontId="5" fillId="0" borderId="0" xfId="1" applyFont="1"/>
    <xf numFmtId="0" fontId="7" fillId="0" borderId="0" xfId="1" applyFont="1"/>
    <xf numFmtId="0" fontId="5" fillId="0" borderId="1" xfId="1" applyFont="1" applyBorder="1"/>
    <xf numFmtId="0" fontId="6" fillId="2" borderId="1" xfId="1" applyFont="1" applyFill="1" applyBorder="1"/>
    <xf numFmtId="0" fontId="5" fillId="0" borderId="1" xfId="1" applyNumberFormat="1" applyFont="1" applyBorder="1"/>
    <xf numFmtId="0" fontId="6" fillId="2" borderId="1" xfId="1" applyFont="1" applyFill="1" applyBorder="1" applyAlignment="1">
      <alignment wrapText="1"/>
    </xf>
    <xf numFmtId="0" fontId="1" fillId="0" borderId="0" xfId="0" applyFont="1"/>
    <xf numFmtId="14" fontId="5" fillId="0" borderId="1" xfId="1" applyNumberFormat="1" applyFont="1" applyBorder="1"/>
    <xf numFmtId="0" fontId="5" fillId="0" borderId="0" xfId="1" applyNumberFormat="1" applyFont="1"/>
    <xf numFmtId="164" fontId="5" fillId="0" borderId="1" xfId="1" applyNumberFormat="1" applyFont="1" applyBorder="1"/>
    <xf numFmtId="0" fontId="8" fillId="0" borderId="0" xfId="0" applyFont="1"/>
    <xf numFmtId="0" fontId="3" fillId="2" borderId="1" xfId="0" applyFont="1" applyFill="1" applyBorder="1" applyAlignment="1">
      <alignment wrapText="1"/>
    </xf>
    <xf numFmtId="0" fontId="2" fillId="0" borderId="1" xfId="0" applyFont="1" applyBorder="1"/>
    <xf numFmtId="0" fontId="2" fillId="0" borderId="1" xfId="0" quotePrefix="1" applyNumberFormat="1" applyFont="1" applyBorder="1"/>
    <xf numFmtId="0" fontId="0" fillId="0" borderId="1" xfId="0" applyBorder="1"/>
    <xf numFmtId="0" fontId="0" fillId="0" borderId="1" xfId="0" applyNumberFormat="1" applyBorder="1"/>
    <xf numFmtId="0" fontId="5" fillId="3" borderId="4" xfId="1" applyFont="1" applyFill="1" applyBorder="1"/>
    <xf numFmtId="0" fontId="5" fillId="3" borderId="5" xfId="1" applyFont="1" applyFill="1" applyBorder="1"/>
    <xf numFmtId="0" fontId="0" fillId="3" borderId="5" xfId="0" applyFill="1" applyBorder="1"/>
    <xf numFmtId="0" fontId="5" fillId="3" borderId="2" xfId="1" applyFont="1" applyFill="1" applyBorder="1"/>
    <xf numFmtId="0" fontId="5" fillId="3" borderId="6" xfId="1" applyFont="1" applyFill="1" applyBorder="1"/>
    <xf numFmtId="0" fontId="5" fillId="3" borderId="0" xfId="1" applyFont="1" applyFill="1" applyBorder="1"/>
    <xf numFmtId="0" fontId="0" fillId="3" borderId="0" xfId="0" applyFill="1" applyBorder="1"/>
    <xf numFmtId="0" fontId="5" fillId="3" borderId="3" xfId="1" applyFont="1" applyFill="1" applyBorder="1"/>
    <xf numFmtId="0" fontId="5" fillId="3" borderId="7" xfId="1" applyFont="1" applyFill="1" applyBorder="1"/>
    <xf numFmtId="0" fontId="5" fillId="3" borderId="8" xfId="1" applyFont="1" applyFill="1" applyBorder="1"/>
    <xf numFmtId="0" fontId="0" fillId="3" borderId="8" xfId="0" applyFill="1" applyBorder="1"/>
    <xf numFmtId="0" fontId="5" fillId="3" borderId="9" xfId="1" applyFont="1" applyFill="1" applyBorder="1"/>
    <xf numFmtId="0" fontId="0" fillId="3" borderId="4" xfId="0" applyFill="1" applyBorder="1"/>
    <xf numFmtId="0" fontId="0" fillId="3" borderId="2" xfId="0" applyFill="1" applyBorder="1"/>
    <xf numFmtId="0" fontId="0" fillId="3" borderId="7" xfId="0" quotePrefix="1" applyFill="1" applyBorder="1"/>
    <xf numFmtId="0" fontId="0" fillId="3" borderId="9" xfId="0" applyFill="1" applyBorder="1"/>
    <xf numFmtId="0" fontId="3" fillId="4" borderId="10" xfId="0" applyFont="1" applyFill="1" applyBorder="1"/>
    <xf numFmtId="0" fontId="3" fillId="4" borderId="11" xfId="0" applyFont="1" applyFill="1" applyBorder="1"/>
    <xf numFmtId="0" fontId="3" fillId="4" borderId="12" xfId="0" applyFont="1" applyFill="1" applyBorder="1"/>
    <xf numFmtId="164" fontId="0" fillId="0" borderId="0" xfId="0" applyNumberFormat="1"/>
    <xf numFmtId="10" fontId="0" fillId="0" borderId="0" xfId="0" applyNumberFormat="1"/>
    <xf numFmtId="0" fontId="3" fillId="5" borderId="10" xfId="0" applyFont="1" applyFill="1" applyBorder="1"/>
    <xf numFmtId="0" fontId="3" fillId="5" borderId="11" xfId="0" applyFont="1" applyFill="1" applyBorder="1"/>
    <xf numFmtId="0" fontId="3" fillId="5" borderId="12" xfId="0" applyFont="1" applyFill="1" applyBorder="1"/>
    <xf numFmtId="3" fontId="0" fillId="0" borderId="0" xfId="0" applyNumberFormat="1"/>
    <xf numFmtId="164" fontId="0" fillId="6" borderId="1" xfId="0" applyNumberFormat="1" applyFill="1" applyBorder="1"/>
    <xf numFmtId="0" fontId="0" fillId="6" borderId="1" xfId="0" applyNumberFormat="1" applyFill="1" applyBorder="1"/>
    <xf numFmtId="0" fontId="3" fillId="2" borderId="1" xfId="0" applyFont="1" applyFill="1" applyBorder="1"/>
    <xf numFmtId="0" fontId="0" fillId="0" borderId="0" xfId="0" applyNumberFormat="1"/>
    <xf numFmtId="164" fontId="2" fillId="0" borderId="1" xfId="0" applyNumberFormat="1" applyFont="1" applyBorder="1"/>
    <xf numFmtId="0" fontId="9" fillId="0" borderId="0" xfId="1" applyFont="1"/>
    <xf numFmtId="165" fontId="5" fillId="6" borderId="1" xfId="1" applyNumberFormat="1" applyFont="1" applyFill="1" applyBorder="1"/>
    <xf numFmtId="165" fontId="0" fillId="6" borderId="1" xfId="0" applyNumberFormat="1" applyFill="1" applyBorder="1"/>
    <xf numFmtId="10" fontId="0" fillId="0" borderId="1" xfId="0" applyNumberFormat="1" applyBorder="1"/>
    <xf numFmtId="0" fontId="2" fillId="0" borderId="0" xfId="0" applyFont="1" applyAlignment="1">
      <alignment horizontal="right"/>
    </xf>
    <xf numFmtId="3" fontId="0" fillId="0" borderId="1" xfId="0" applyNumberFormat="1" applyBorder="1"/>
    <xf numFmtId="3" fontId="5" fillId="0" borderId="1" xfId="1" applyNumberFormat="1" applyFont="1" applyBorder="1"/>
    <xf numFmtId="0" fontId="9" fillId="0" borderId="0" xfId="1" applyFont="1" applyAlignment="1">
      <alignment horizontal="right"/>
    </xf>
    <xf numFmtId="0" fontId="6" fillId="2" borderId="0" xfId="1" applyFont="1" applyFill="1"/>
    <xf numFmtId="10" fontId="6" fillId="7" borderId="1" xfId="1" applyNumberFormat="1" applyFont="1" applyFill="1" applyBorder="1"/>
    <xf numFmtId="0" fontId="6" fillId="7" borderId="1" xfId="1" applyNumberFormat="1" applyFont="1" applyFill="1" applyBorder="1"/>
    <xf numFmtId="0" fontId="6" fillId="7" borderId="1" xfId="1" applyFont="1" applyFill="1" applyBorder="1"/>
    <xf numFmtId="0" fontId="0" fillId="6" borderId="1" xfId="0" applyFill="1" applyBorder="1"/>
    <xf numFmtId="164" fontId="0" fillId="0" borderId="1" xfId="0" applyNumberFormat="1" applyBorder="1"/>
    <xf numFmtId="0" fontId="3" fillId="2" borderId="4" xfId="0" applyFont="1" applyFill="1" applyBorder="1" applyAlignment="1">
      <alignment horizontal="center" vertical="center" textRotation="90"/>
    </xf>
    <xf numFmtId="0" fontId="3" fillId="2" borderId="6" xfId="0" applyFont="1" applyFill="1" applyBorder="1" applyAlignment="1">
      <alignment horizontal="center" vertical="center" textRotation="90"/>
    </xf>
    <xf numFmtId="0" fontId="3" fillId="2" borderId="7" xfId="0" applyFont="1" applyFill="1" applyBorder="1" applyAlignment="1">
      <alignment horizontal="center" vertical="center" textRotation="90"/>
    </xf>
    <xf numFmtId="0" fontId="3" fillId="2" borderId="4" xfId="0" applyFont="1" applyFill="1" applyBorder="1" applyAlignment="1">
      <alignment horizontal="center"/>
    </xf>
    <xf numFmtId="0" fontId="3" fillId="2" borderId="5" xfId="0" applyFont="1" applyFill="1" applyBorder="1" applyAlignment="1">
      <alignment horizontal="center"/>
    </xf>
    <xf numFmtId="0" fontId="3" fillId="2" borderId="2" xfId="0" applyFont="1" applyFill="1" applyBorder="1" applyAlignment="1">
      <alignment horizontal="center"/>
    </xf>
  </cellXfs>
  <cellStyles count="3">
    <cellStyle name="Normal" xfId="0" builtinId="0"/>
    <cellStyle name="Normal 2" xfId="1"/>
    <cellStyle name="Percent 2" xfId="2"/>
  </cellStyles>
  <dxfs count="0"/>
  <tableStyles count="0" defaultTableStyle="TableStyleMedium2" defaultPivotStyle="PivotStyleLight16"/>
  <colors>
    <mruColors>
      <color rgb="FFCCFFCC"/>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'1 V Data Table'!$C$33</c:f>
              <c:strCache>
                <c:ptCount val="1"/>
                <c:pt idx="0">
                  <c:v>Total Revenue</c:v>
                </c:pt>
              </c:strCache>
            </c:strRef>
          </c:tx>
          <c:spPr>
            <a:ln w="19050" cap="rnd">
              <a:solidFill>
                <a:schemeClr val="accent1"/>
              </a:solidFill>
              <a:round/>
            </a:ln>
            <a:effectLst/>
          </c:spPr>
          <c:marker>
            <c:symbol val="none"/>
          </c:marker>
          <c:xVal>
            <c:numRef>
              <c:f>'1 V Data Table'!$B$35:$B$47</c:f>
              <c:numCache>
                <c:formatCode>#,##0</c:formatCode>
                <c:ptCount val="13"/>
                <c:pt idx="0">
                  <c:v>0</c:v>
                </c:pt>
                <c:pt idx="1">
                  <c:v>500</c:v>
                </c:pt>
                <c:pt idx="2">
                  <c:v>1000</c:v>
                </c:pt>
                <c:pt idx="3">
                  <c:v>1500</c:v>
                </c:pt>
                <c:pt idx="4">
                  <c:v>2000</c:v>
                </c:pt>
                <c:pt idx="5">
                  <c:v>2500</c:v>
                </c:pt>
                <c:pt idx="6">
                  <c:v>3000</c:v>
                </c:pt>
                <c:pt idx="7">
                  <c:v>3500</c:v>
                </c:pt>
                <c:pt idx="8">
                  <c:v>4000</c:v>
                </c:pt>
                <c:pt idx="9">
                  <c:v>4500</c:v>
                </c:pt>
                <c:pt idx="10">
                  <c:v>5000</c:v>
                </c:pt>
                <c:pt idx="11">
                  <c:v>5500</c:v>
                </c:pt>
                <c:pt idx="12">
                  <c:v>6000</c:v>
                </c:pt>
              </c:numCache>
            </c:numRef>
          </c:xVal>
          <c:yVal>
            <c:numRef>
              <c:f>'1 V Data Table'!$C$35:$C$47</c:f>
              <c:numCache>
                <c:formatCode>"$"#,##0</c:formatCode>
                <c:ptCount val="13"/>
                <c:pt idx="0">
                  <c:v>0</c:v>
                </c:pt>
                <c:pt idx="1">
                  <c:v>8085</c:v>
                </c:pt>
                <c:pt idx="2">
                  <c:v>16170</c:v>
                </c:pt>
                <c:pt idx="3">
                  <c:v>24255</c:v>
                </c:pt>
                <c:pt idx="4">
                  <c:v>32340</c:v>
                </c:pt>
                <c:pt idx="5">
                  <c:v>40425</c:v>
                </c:pt>
                <c:pt idx="6">
                  <c:v>48510</c:v>
                </c:pt>
                <c:pt idx="7">
                  <c:v>56595</c:v>
                </c:pt>
                <c:pt idx="8">
                  <c:v>64680</c:v>
                </c:pt>
                <c:pt idx="9">
                  <c:v>72765</c:v>
                </c:pt>
                <c:pt idx="10">
                  <c:v>80850</c:v>
                </c:pt>
                <c:pt idx="11">
                  <c:v>88935</c:v>
                </c:pt>
                <c:pt idx="12">
                  <c:v>97020</c:v>
                </c:pt>
              </c:numCache>
            </c:numRef>
          </c:yVal>
          <c:smooth val="0"/>
        </c:ser>
        <c:ser>
          <c:idx val="1"/>
          <c:order val="1"/>
          <c:tx>
            <c:strRef>
              <c:f>'1 V Data Table'!$D$33</c:f>
              <c:strCache>
                <c:ptCount val="1"/>
                <c:pt idx="0">
                  <c:v>Total Costs</c:v>
                </c:pt>
              </c:strCache>
            </c:strRef>
          </c:tx>
          <c:spPr>
            <a:ln w="19050" cap="rnd">
              <a:solidFill>
                <a:schemeClr val="accent2"/>
              </a:solidFill>
              <a:round/>
            </a:ln>
            <a:effectLst/>
          </c:spPr>
          <c:marker>
            <c:symbol val="none"/>
          </c:marker>
          <c:xVal>
            <c:numRef>
              <c:f>'1 V Data Table'!$B$35:$B$47</c:f>
              <c:numCache>
                <c:formatCode>#,##0</c:formatCode>
                <c:ptCount val="13"/>
                <c:pt idx="0">
                  <c:v>0</c:v>
                </c:pt>
                <c:pt idx="1">
                  <c:v>500</c:v>
                </c:pt>
                <c:pt idx="2">
                  <c:v>1000</c:v>
                </c:pt>
                <c:pt idx="3">
                  <c:v>1500</c:v>
                </c:pt>
                <c:pt idx="4">
                  <c:v>2000</c:v>
                </c:pt>
                <c:pt idx="5">
                  <c:v>2500</c:v>
                </c:pt>
                <c:pt idx="6">
                  <c:v>3000</c:v>
                </c:pt>
                <c:pt idx="7">
                  <c:v>3500</c:v>
                </c:pt>
                <c:pt idx="8">
                  <c:v>4000</c:v>
                </c:pt>
                <c:pt idx="9">
                  <c:v>4500</c:v>
                </c:pt>
                <c:pt idx="10">
                  <c:v>5000</c:v>
                </c:pt>
                <c:pt idx="11">
                  <c:v>5500</c:v>
                </c:pt>
                <c:pt idx="12">
                  <c:v>6000</c:v>
                </c:pt>
              </c:numCache>
            </c:numRef>
          </c:xVal>
          <c:yVal>
            <c:numRef>
              <c:f>'1 V Data Table'!$D$35:$D$47</c:f>
              <c:numCache>
                <c:formatCode>"$"#,##0</c:formatCode>
                <c:ptCount val="13"/>
                <c:pt idx="0">
                  <c:v>17430</c:v>
                </c:pt>
                <c:pt idx="1">
                  <c:v>22240</c:v>
                </c:pt>
                <c:pt idx="2">
                  <c:v>27050</c:v>
                </c:pt>
                <c:pt idx="3">
                  <c:v>31860</c:v>
                </c:pt>
                <c:pt idx="4">
                  <c:v>36670</c:v>
                </c:pt>
                <c:pt idx="5">
                  <c:v>41480</c:v>
                </c:pt>
                <c:pt idx="6">
                  <c:v>46290</c:v>
                </c:pt>
                <c:pt idx="7">
                  <c:v>51100</c:v>
                </c:pt>
                <c:pt idx="8">
                  <c:v>55910</c:v>
                </c:pt>
                <c:pt idx="9">
                  <c:v>60720</c:v>
                </c:pt>
                <c:pt idx="10">
                  <c:v>65529.999999999993</c:v>
                </c:pt>
                <c:pt idx="11">
                  <c:v>70340</c:v>
                </c:pt>
                <c:pt idx="12">
                  <c:v>75150</c:v>
                </c:pt>
              </c:numCache>
            </c:numRef>
          </c:yVal>
          <c:smooth val="0"/>
        </c:ser>
        <c:ser>
          <c:idx val="2"/>
          <c:order val="2"/>
          <c:tx>
            <c:strRef>
              <c:f>'1 V Data Table'!$E$33</c:f>
              <c:strCache>
                <c:ptCount val="1"/>
                <c:pt idx="0">
                  <c:v>Fixed Costs</c:v>
                </c:pt>
              </c:strCache>
            </c:strRef>
          </c:tx>
          <c:spPr>
            <a:ln w="19050" cap="rnd">
              <a:solidFill>
                <a:schemeClr val="accent3"/>
              </a:solidFill>
              <a:round/>
            </a:ln>
            <a:effectLst/>
          </c:spPr>
          <c:marker>
            <c:symbol val="none"/>
          </c:marker>
          <c:xVal>
            <c:numRef>
              <c:f>'1 V Data Table'!$B$35:$B$47</c:f>
              <c:numCache>
                <c:formatCode>#,##0</c:formatCode>
                <c:ptCount val="13"/>
                <c:pt idx="0">
                  <c:v>0</c:v>
                </c:pt>
                <c:pt idx="1">
                  <c:v>500</c:v>
                </c:pt>
                <c:pt idx="2">
                  <c:v>1000</c:v>
                </c:pt>
                <c:pt idx="3">
                  <c:v>1500</c:v>
                </c:pt>
                <c:pt idx="4">
                  <c:v>2000</c:v>
                </c:pt>
                <c:pt idx="5">
                  <c:v>2500</c:v>
                </c:pt>
                <c:pt idx="6">
                  <c:v>3000</c:v>
                </c:pt>
                <c:pt idx="7">
                  <c:v>3500</c:v>
                </c:pt>
                <c:pt idx="8">
                  <c:v>4000</c:v>
                </c:pt>
                <c:pt idx="9">
                  <c:v>4500</c:v>
                </c:pt>
                <c:pt idx="10">
                  <c:v>5000</c:v>
                </c:pt>
                <c:pt idx="11">
                  <c:v>5500</c:v>
                </c:pt>
                <c:pt idx="12">
                  <c:v>6000</c:v>
                </c:pt>
              </c:numCache>
            </c:numRef>
          </c:xVal>
          <c:yVal>
            <c:numRef>
              <c:f>'1 V Data Table'!$E$35:$E$47</c:f>
              <c:numCache>
                <c:formatCode>"$"#,##0</c:formatCode>
                <c:ptCount val="13"/>
                <c:pt idx="0">
                  <c:v>17430</c:v>
                </c:pt>
                <c:pt idx="1">
                  <c:v>17430</c:v>
                </c:pt>
                <c:pt idx="2">
                  <c:v>17430</c:v>
                </c:pt>
                <c:pt idx="3">
                  <c:v>17430</c:v>
                </c:pt>
                <c:pt idx="4">
                  <c:v>17430</c:v>
                </c:pt>
                <c:pt idx="5">
                  <c:v>17430</c:v>
                </c:pt>
                <c:pt idx="6">
                  <c:v>17430</c:v>
                </c:pt>
                <c:pt idx="7">
                  <c:v>17430</c:v>
                </c:pt>
                <c:pt idx="8">
                  <c:v>17430</c:v>
                </c:pt>
                <c:pt idx="9">
                  <c:v>17430</c:v>
                </c:pt>
                <c:pt idx="10">
                  <c:v>17430</c:v>
                </c:pt>
                <c:pt idx="11">
                  <c:v>17430</c:v>
                </c:pt>
                <c:pt idx="12">
                  <c:v>17430</c:v>
                </c:pt>
              </c:numCache>
            </c:numRef>
          </c:yVal>
          <c:smooth val="0"/>
        </c:ser>
        <c:ser>
          <c:idx val="3"/>
          <c:order val="3"/>
          <c:tx>
            <c:strRef>
              <c:f>'1 V Data Table'!$E$29</c:f>
              <c:strCache>
                <c:ptCount val="1"/>
                <c:pt idx="0">
                  <c:v>BEU = 2662</c:v>
                </c:pt>
              </c:strCache>
            </c:strRef>
          </c:tx>
          <c:spPr>
            <a:ln w="19050" cap="rnd">
              <a:solidFill>
                <a:schemeClr val="accent4"/>
              </a:solidFill>
              <a:round/>
            </a:ln>
            <a:effectLst/>
          </c:spPr>
          <c:marker>
            <c:symbol val="square"/>
            <c:size val="5"/>
            <c:spPr>
              <a:solidFill>
                <a:srgbClr val="FF0000"/>
              </a:solidFill>
              <a:ln w="9525">
                <a:solidFill>
                  <a:schemeClr val="accent4"/>
                </a:solidFill>
              </a:ln>
              <a:effectLst/>
            </c:spPr>
          </c:marker>
          <c:xVal>
            <c:numRef>
              <c:f>'1 V Data Table'!$E$26</c:f>
              <c:numCache>
                <c:formatCode>General</c:formatCode>
                <c:ptCount val="1"/>
                <c:pt idx="0">
                  <c:v>2662</c:v>
                </c:pt>
              </c:numCache>
            </c:numRef>
          </c:xVal>
          <c:yVal>
            <c:numRef>
              <c:f>'1 V Data Table'!$F$26</c:f>
              <c:numCache>
                <c:formatCode>"$"#,##0.00</c:formatCode>
                <c:ptCount val="1"/>
                <c:pt idx="0">
                  <c:v>43038.44</c:v>
                </c:pt>
              </c:numCache>
            </c:numRef>
          </c:yVal>
          <c:smooth val="0"/>
        </c:ser>
        <c:dLbls>
          <c:showLegendKey val="0"/>
          <c:showVal val="0"/>
          <c:showCatName val="0"/>
          <c:showSerName val="0"/>
          <c:showPercent val="0"/>
          <c:showBubbleSize val="0"/>
        </c:dLbls>
        <c:axId val="912186576"/>
        <c:axId val="263370464"/>
      </c:scatterChart>
      <c:valAx>
        <c:axId val="912186576"/>
        <c:scaling>
          <c:orientation val="minMax"/>
        </c:scaling>
        <c:delete val="0"/>
        <c:axPos val="b"/>
        <c:majorGridlines>
          <c:spPr>
            <a:ln w="9525" cap="flat" cmpd="sng" algn="ctr">
              <a:solidFill>
                <a:schemeClr val="tx1">
                  <a:lumMod val="15000"/>
                  <a:lumOff val="85000"/>
                </a:schemeClr>
              </a:solidFill>
              <a:round/>
            </a:ln>
            <a:effectLst/>
          </c:spPr>
        </c:majorGridlines>
        <c:title>
          <c:tx>
            <c:strRef>
              <c:f>'1 V Data Table'!$B$34</c:f>
              <c:strCache>
                <c:ptCount val="1"/>
                <c:pt idx="0">
                  <c:v>Quantity</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3370464"/>
        <c:crosses val="autoZero"/>
        <c:crossBetween val="midCat"/>
      </c:valAx>
      <c:valAx>
        <c:axId val="26337046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Amounts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86576"/>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0</xdr:col>
      <xdr:colOff>49695</xdr:colOff>
      <xdr:row>0</xdr:row>
      <xdr:rowOff>57978</xdr:rowOff>
    </xdr:from>
    <xdr:to>
      <xdr:col>4</xdr:col>
      <xdr:colOff>173934</xdr:colOff>
      <xdr:row>10</xdr:row>
      <xdr:rowOff>76970</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9695" y="57978"/>
          <a:ext cx="2575891" cy="192399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xdr:col>
          <xdr:colOff>0</xdr:colOff>
          <xdr:row>0</xdr:row>
          <xdr:rowOff>0</xdr:rowOff>
        </xdr:from>
        <xdr:to>
          <xdr:col>14</xdr:col>
          <xdr:colOff>466725</xdr:colOff>
          <xdr:row>27</xdr:row>
          <xdr:rowOff>123825</xdr:rowOff>
        </xdr:to>
        <xdr:sp macro="" textlink="">
          <xdr:nvSpPr>
            <xdr:cNvPr id="6155" name="Object 11" hidden="1">
              <a:extLst>
                <a:ext uri="{63B3BB69-23CF-44E3-9099-C40C66FF867C}">
                  <a14:compatExt spid="_x0000_s6155"/>
                </a:ext>
              </a:extLst>
            </xdr:cNvPr>
            <xdr:cNvSpPr/>
          </xdr:nvSpPr>
          <xdr:spPr bwMode="auto">
            <a:xfrm>
              <a:off x="0" y="0"/>
              <a:ext cx="0" cy="0"/>
            </a:xfrm>
            <a:prstGeom prst="rect">
              <a:avLst/>
            </a:prstGeom>
            <a:solidFill>
              <a:srgbClr val="FFFFCC" mc:Ignorable="a14" a14:legacySpreadsheetColorIndex="26"/>
            </a:solidFill>
            <a:ln w="9525" cap="flat" cmpd="sng">
              <a:solidFill>
                <a:srgbClr val="000000" mc:Ignorable="a14" a14:legacySpreadsheetColorIndex="64"/>
              </a:solidFill>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3229921</xdr:colOff>
      <xdr:row>3</xdr:row>
      <xdr:rowOff>99483</xdr:rowOff>
    </xdr:from>
    <xdr:to>
      <xdr:col>15</xdr:col>
      <xdr:colOff>570365</xdr:colOff>
      <xdr:row>30</xdr:row>
      <xdr:rowOff>109008</xdr:rowOff>
    </xdr:to>
    <xdr:grpSp>
      <xdr:nvGrpSpPr>
        <xdr:cNvPr id="43" name="Group 42"/>
        <xdr:cNvGrpSpPr/>
      </xdr:nvGrpSpPr>
      <xdr:grpSpPr>
        <a:xfrm>
          <a:off x="3229921" y="670983"/>
          <a:ext cx="9958268" cy="5153025"/>
          <a:chOff x="6353015" y="1015092"/>
          <a:chExt cx="9927051" cy="5153025"/>
        </a:xfrm>
      </xdr:grpSpPr>
      <xdr:sp macro="" textlink="$A$17">
        <xdr:nvSpPr>
          <xdr:cNvPr id="2" name="Flowchart: Connector 1"/>
          <xdr:cNvSpPr/>
        </xdr:nvSpPr>
        <xdr:spPr>
          <a:xfrm>
            <a:off x="11851422" y="4148817"/>
            <a:ext cx="2055798" cy="771525"/>
          </a:xfrm>
          <a:prstGeom prst="flowChartConnector">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283A2F42-2213-420C-845E-33DDF691BF81}" type="TxLink">
              <a:rPr lang="en-US" sz="1100" b="0" i="0" u="none" strike="noStrike">
                <a:solidFill>
                  <a:srgbClr val="000000"/>
                </a:solidFill>
                <a:latin typeface="Calibri"/>
                <a:cs typeface="Calibri"/>
              </a:rPr>
              <a:pPr algn="l"/>
              <a:t>Variable cost per unit = VC = MC + IC + LC</a:t>
            </a:fld>
            <a:endParaRPr lang="en-US" sz="1100"/>
          </a:p>
        </xdr:txBody>
      </xdr:sp>
      <xdr:sp macro="" textlink="$A$5">
        <xdr:nvSpPr>
          <xdr:cNvPr id="3" name="Flowchart: Connector 2"/>
          <xdr:cNvSpPr/>
        </xdr:nvSpPr>
        <xdr:spPr>
          <a:xfrm>
            <a:off x="10266990" y="5015592"/>
            <a:ext cx="1662952" cy="771525"/>
          </a:xfrm>
          <a:prstGeom prst="flowChartConnector">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7C3E62D5-F932-4017-9CD4-9825EF4BCE69}" type="TxLink">
              <a:rPr lang="en-US" sz="1100" b="0" i="0" u="none" strike="noStrike">
                <a:solidFill>
                  <a:srgbClr val="000000"/>
                </a:solidFill>
                <a:latin typeface="Calibri"/>
                <a:cs typeface="Calibri"/>
              </a:rPr>
              <a:pPr algn="l"/>
              <a:t>Material costs per unit = MC</a:t>
            </a:fld>
            <a:endParaRPr lang="en-US" sz="1100"/>
          </a:p>
        </xdr:txBody>
      </xdr:sp>
      <xdr:sp macro="" textlink="$A$6">
        <xdr:nvSpPr>
          <xdr:cNvPr id="4" name="Flowchart: Connector 3"/>
          <xdr:cNvSpPr/>
        </xdr:nvSpPr>
        <xdr:spPr>
          <a:xfrm>
            <a:off x="11958516" y="5396592"/>
            <a:ext cx="1824878" cy="771525"/>
          </a:xfrm>
          <a:prstGeom prst="flowChartConnector">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D522C785-A29A-4000-8B15-F00C7ABFE9E6}" type="TxLink">
              <a:rPr lang="en-US" sz="1100" b="0" i="0" u="none" strike="noStrike">
                <a:solidFill>
                  <a:srgbClr val="000000"/>
                </a:solidFill>
                <a:latin typeface="Calibri"/>
                <a:cs typeface="Calibri"/>
              </a:rPr>
              <a:pPr algn="l"/>
              <a:t>Assigned Indirect Costs per unit = IC</a:t>
            </a:fld>
            <a:endParaRPr lang="en-US" sz="1100"/>
          </a:p>
        </xdr:txBody>
      </xdr:sp>
      <xdr:sp macro="" textlink="$A$7">
        <xdr:nvSpPr>
          <xdr:cNvPr id="5" name="Flowchart: Connector 4"/>
          <xdr:cNvSpPr/>
        </xdr:nvSpPr>
        <xdr:spPr>
          <a:xfrm>
            <a:off x="13926270" y="5310867"/>
            <a:ext cx="1662954" cy="771525"/>
          </a:xfrm>
          <a:prstGeom prst="flowChartConnector">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A6F418B5-4D87-4367-A532-FD8A072F4FAF}" type="TxLink">
              <a:rPr lang="en-US" sz="1100" b="0" i="0" u="none" strike="noStrike">
                <a:solidFill>
                  <a:srgbClr val="000000"/>
                </a:solidFill>
                <a:latin typeface="Calibri"/>
                <a:cs typeface="Calibri"/>
              </a:rPr>
              <a:pPr algn="l"/>
              <a:t>Labor Costs per units = LC</a:t>
            </a:fld>
            <a:endParaRPr lang="en-US" sz="1100"/>
          </a:p>
        </xdr:txBody>
      </xdr:sp>
      <xdr:cxnSp macro="">
        <xdr:nvCxnSpPr>
          <xdr:cNvPr id="7" name="Straight Arrow Connector 6"/>
          <xdr:cNvCxnSpPr>
            <a:stCxn id="3" idx="0"/>
            <a:endCxn id="2" idx="3"/>
          </xdr:cNvCxnSpPr>
        </xdr:nvCxnSpPr>
        <xdr:spPr>
          <a:xfrm flipV="1">
            <a:off x="11103429" y="4807355"/>
            <a:ext cx="1044877" cy="20823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9" name="Straight Arrow Connector 8"/>
          <xdr:cNvCxnSpPr>
            <a:stCxn id="4" idx="0"/>
            <a:endCxn id="2" idx="4"/>
          </xdr:cNvCxnSpPr>
        </xdr:nvCxnSpPr>
        <xdr:spPr>
          <a:xfrm flipV="1">
            <a:off x="12873198" y="4920342"/>
            <a:ext cx="4763" cy="4762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1" name="Straight Arrow Connector 10"/>
          <xdr:cNvCxnSpPr>
            <a:stCxn id="5" idx="0"/>
            <a:endCxn id="2" idx="5"/>
          </xdr:cNvCxnSpPr>
        </xdr:nvCxnSpPr>
        <xdr:spPr>
          <a:xfrm flipH="1" flipV="1">
            <a:off x="13610336" y="4807355"/>
            <a:ext cx="1152374" cy="503512"/>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A$18">
        <xdr:nvSpPr>
          <xdr:cNvPr id="15" name="Flowchart: Connector 14"/>
          <xdr:cNvSpPr/>
        </xdr:nvSpPr>
        <xdr:spPr>
          <a:xfrm>
            <a:off x="12044242" y="2977242"/>
            <a:ext cx="2063003" cy="771525"/>
          </a:xfrm>
          <a:prstGeom prst="flowChartConnector">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B54ECF0F-0306-4B8F-B35C-79BE08DD44D3}" type="TxLink">
              <a:rPr lang="en-US" sz="1100" b="0" i="0" u="none" strike="noStrike">
                <a:solidFill>
                  <a:srgbClr val="000000"/>
                </a:solidFill>
                <a:latin typeface="Calibri"/>
                <a:cs typeface="Calibri"/>
              </a:rPr>
              <a:pPr algn="l"/>
              <a:t>Total Variable Costs = TVC(q) = VC*q</a:t>
            </a:fld>
            <a:endParaRPr lang="en-US" sz="1100"/>
          </a:p>
        </xdr:txBody>
      </xdr:sp>
      <xdr:sp macro="" textlink="$A$25">
        <xdr:nvSpPr>
          <xdr:cNvPr id="16" name="Flowchart: Connector 15"/>
          <xdr:cNvSpPr/>
        </xdr:nvSpPr>
        <xdr:spPr>
          <a:xfrm>
            <a:off x="9661872" y="3901167"/>
            <a:ext cx="2065725" cy="771525"/>
          </a:xfrm>
          <a:prstGeom prst="flowChartConnector">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ACE3327F-C11B-46EB-B84F-3F7A53219129}" type="TxLink">
              <a:rPr lang="en-US" sz="1100" b="0" i="0" u="none" strike="noStrike">
                <a:solidFill>
                  <a:srgbClr val="000000"/>
                </a:solidFill>
                <a:latin typeface="Calibri"/>
                <a:cs typeface="Calibri"/>
              </a:rPr>
              <a:pPr algn="l"/>
              <a:t>Production Volume = Units Produced = Quantity = q</a:t>
            </a:fld>
            <a:endParaRPr lang="en-US" sz="1100"/>
          </a:p>
        </xdr:txBody>
      </xdr:sp>
      <xdr:cxnSp macro="">
        <xdr:nvCxnSpPr>
          <xdr:cNvPr id="18" name="Straight Arrow Connector 17"/>
          <xdr:cNvCxnSpPr>
            <a:stCxn id="2" idx="0"/>
            <a:endCxn id="15" idx="4"/>
          </xdr:cNvCxnSpPr>
        </xdr:nvCxnSpPr>
        <xdr:spPr>
          <a:xfrm flipV="1">
            <a:off x="12877961" y="3748767"/>
            <a:ext cx="202746" cy="4000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0" name="Straight Arrow Connector 19"/>
          <xdr:cNvCxnSpPr>
            <a:stCxn id="16" idx="7"/>
            <a:endCxn id="15" idx="3"/>
          </xdr:cNvCxnSpPr>
        </xdr:nvCxnSpPr>
        <xdr:spPr>
          <a:xfrm flipV="1">
            <a:off x="11420787" y="3635780"/>
            <a:ext cx="930266" cy="37837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A$19">
        <xdr:nvSpPr>
          <xdr:cNvPr id="21" name="Flowchart: Connector 20"/>
          <xdr:cNvSpPr/>
        </xdr:nvSpPr>
        <xdr:spPr>
          <a:xfrm>
            <a:off x="11948992" y="1948542"/>
            <a:ext cx="2063003" cy="771525"/>
          </a:xfrm>
          <a:prstGeom prst="flowChartConnector">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9E4436C9-E3E8-4361-A7B4-5EE72D19C111}" type="TxLink">
              <a:rPr lang="en-US" sz="1100" b="0" i="0" u="none" strike="noStrike">
                <a:solidFill>
                  <a:srgbClr val="000000"/>
                </a:solidFill>
                <a:latin typeface="Calibri"/>
                <a:cs typeface="Calibri"/>
              </a:rPr>
              <a:pPr algn="l"/>
              <a:t>Total Costs = TC(q) = FC + TVC(q)</a:t>
            </a:fld>
            <a:endParaRPr lang="en-US" sz="1100"/>
          </a:p>
        </xdr:txBody>
      </xdr:sp>
      <xdr:sp macro="" textlink="$A$4">
        <xdr:nvSpPr>
          <xdr:cNvPr id="22" name="Flowchart: Connector 21"/>
          <xdr:cNvSpPr/>
        </xdr:nvSpPr>
        <xdr:spPr>
          <a:xfrm>
            <a:off x="14224267" y="2929617"/>
            <a:ext cx="2055799" cy="771525"/>
          </a:xfrm>
          <a:prstGeom prst="flowChartConnector">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6CE86E69-F736-4B90-8869-652817A84C3F}" type="TxLink">
              <a:rPr lang="en-US" sz="1100" b="0" i="0" u="none" strike="noStrike">
                <a:solidFill>
                  <a:srgbClr val="000000"/>
                </a:solidFill>
                <a:latin typeface="Calibri"/>
                <a:cs typeface="Calibri"/>
              </a:rPr>
              <a:pPr algn="l"/>
              <a:t>Total Fixed Costs = FC</a:t>
            </a:fld>
            <a:endParaRPr lang="en-US" sz="1100"/>
          </a:p>
        </xdr:txBody>
      </xdr:sp>
      <xdr:cxnSp macro="">
        <xdr:nvCxnSpPr>
          <xdr:cNvPr id="24" name="Straight Arrow Connector 23"/>
          <xdr:cNvCxnSpPr>
            <a:stCxn id="22" idx="0"/>
            <a:endCxn id="21" idx="5"/>
          </xdr:cNvCxnSpPr>
        </xdr:nvCxnSpPr>
        <xdr:spPr>
          <a:xfrm flipH="1" flipV="1">
            <a:off x="13707906" y="2607080"/>
            <a:ext cx="1542900" cy="32253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6" name="Straight Arrow Connector 25"/>
          <xdr:cNvCxnSpPr>
            <a:stCxn id="15" idx="0"/>
            <a:endCxn id="21" idx="4"/>
          </xdr:cNvCxnSpPr>
        </xdr:nvCxnSpPr>
        <xdr:spPr>
          <a:xfrm flipH="1" flipV="1">
            <a:off x="12985457" y="2720067"/>
            <a:ext cx="95250" cy="25717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A$20">
        <xdr:nvSpPr>
          <xdr:cNvPr id="27" name="Flowchart: Connector 26"/>
          <xdr:cNvSpPr/>
        </xdr:nvSpPr>
        <xdr:spPr>
          <a:xfrm>
            <a:off x="9652347" y="1929492"/>
            <a:ext cx="2065725" cy="771525"/>
          </a:xfrm>
          <a:prstGeom prst="flowChartConnector">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C8B67C98-9959-4410-ABE3-E9F0B41FAFC6}" type="TxLink">
              <a:rPr lang="en-US" sz="1100" b="0" i="0" u="none" strike="noStrike">
                <a:solidFill>
                  <a:srgbClr val="000000"/>
                </a:solidFill>
                <a:latin typeface="Calibri"/>
                <a:cs typeface="Calibri"/>
              </a:rPr>
              <a:pPr algn="l"/>
              <a:t>Total Revenue = TR(q) = R*q*(1-D)</a:t>
            </a:fld>
            <a:endParaRPr lang="en-US" sz="1100"/>
          </a:p>
        </xdr:txBody>
      </xdr:sp>
      <xdr:sp macro="" textlink="$A$8">
        <xdr:nvSpPr>
          <xdr:cNvPr id="28" name="Flowchart: Connector 27"/>
          <xdr:cNvSpPr/>
        </xdr:nvSpPr>
        <xdr:spPr>
          <a:xfrm>
            <a:off x="7547082" y="3528011"/>
            <a:ext cx="2050356" cy="771525"/>
          </a:xfrm>
          <a:prstGeom prst="flowChartConnector">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FE1A5B9B-2D2E-4D19-A509-61CA3CB094A1}" type="TxLink">
              <a:rPr lang="en-US" sz="1100" b="0" i="0" u="none" strike="noStrike">
                <a:solidFill>
                  <a:srgbClr val="000000"/>
                </a:solidFill>
                <a:latin typeface="Calibri"/>
                <a:cs typeface="Calibri"/>
              </a:rPr>
              <a:pPr algn="l"/>
              <a:t>Revenue = R</a:t>
            </a:fld>
            <a:endParaRPr lang="en-US" sz="1100"/>
          </a:p>
        </xdr:txBody>
      </xdr:sp>
      <xdr:sp macro="" textlink="$A$9">
        <xdr:nvSpPr>
          <xdr:cNvPr id="29" name="Flowchart: Connector 28"/>
          <xdr:cNvSpPr/>
        </xdr:nvSpPr>
        <xdr:spPr>
          <a:xfrm>
            <a:off x="6353015" y="2365400"/>
            <a:ext cx="2409586" cy="962025"/>
          </a:xfrm>
          <a:prstGeom prst="flowChartConnector">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7BFC3B9A-F53D-4D8C-8302-840251BCA27C}" type="TxLink">
              <a:rPr lang="en-US" sz="1100" b="0" i="0" u="none" strike="noStrike">
                <a:solidFill>
                  <a:srgbClr val="000000"/>
                </a:solidFill>
                <a:latin typeface="Calibri"/>
                <a:cs typeface="Calibri"/>
              </a:rPr>
              <a:pPr algn="l"/>
              <a:t>% of boomerangs made, but not sold (defects &amp; returns) = D</a:t>
            </a:fld>
            <a:endParaRPr lang="en-US" sz="1100"/>
          </a:p>
        </xdr:txBody>
      </xdr:sp>
      <xdr:cxnSp macro="">
        <xdr:nvCxnSpPr>
          <xdr:cNvPr id="31" name="Straight Arrow Connector 30"/>
          <xdr:cNvCxnSpPr>
            <a:stCxn id="29" idx="0"/>
            <a:endCxn id="27" idx="2"/>
          </xdr:cNvCxnSpPr>
        </xdr:nvCxnSpPr>
        <xdr:spPr>
          <a:xfrm flipV="1">
            <a:off x="7557808" y="2315255"/>
            <a:ext cx="2094539" cy="5014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33" name="Straight Arrow Connector 32"/>
          <xdr:cNvCxnSpPr>
            <a:stCxn id="28" idx="0"/>
            <a:endCxn id="27" idx="3"/>
          </xdr:cNvCxnSpPr>
        </xdr:nvCxnSpPr>
        <xdr:spPr>
          <a:xfrm flipV="1">
            <a:off x="8572260" y="2588030"/>
            <a:ext cx="1382605" cy="939981"/>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35" name="Straight Arrow Connector 34"/>
          <xdr:cNvCxnSpPr>
            <a:stCxn id="16" idx="0"/>
            <a:endCxn id="27" idx="4"/>
          </xdr:cNvCxnSpPr>
        </xdr:nvCxnSpPr>
        <xdr:spPr>
          <a:xfrm flipH="1" flipV="1">
            <a:off x="10681607" y="2701017"/>
            <a:ext cx="9525" cy="12001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A$21">
        <xdr:nvSpPr>
          <xdr:cNvPr id="36" name="Flowchart: Connector 35"/>
          <xdr:cNvSpPr/>
        </xdr:nvSpPr>
        <xdr:spPr>
          <a:xfrm>
            <a:off x="10834007" y="1015092"/>
            <a:ext cx="2063004" cy="771525"/>
          </a:xfrm>
          <a:prstGeom prst="flowChartConnector">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2F75961A-76BF-43E9-83C3-CB69098345AF}" type="TxLink">
              <a:rPr lang="en-US" sz="1100" b="0" i="0" u="none" strike="noStrike">
                <a:solidFill>
                  <a:srgbClr val="000000"/>
                </a:solidFill>
                <a:latin typeface="Calibri"/>
                <a:cs typeface="Calibri"/>
              </a:rPr>
              <a:pPr algn="l"/>
              <a:t>Total Profit = TP(q) =TR(q) - TC(q)</a:t>
            </a:fld>
            <a:endParaRPr lang="en-US" sz="1100"/>
          </a:p>
        </xdr:txBody>
      </xdr:sp>
      <xdr:cxnSp macro="">
        <xdr:nvCxnSpPr>
          <xdr:cNvPr id="38" name="Straight Arrow Connector 37"/>
          <xdr:cNvCxnSpPr>
            <a:stCxn id="27" idx="0"/>
            <a:endCxn id="36" idx="3"/>
          </xdr:cNvCxnSpPr>
        </xdr:nvCxnSpPr>
        <xdr:spPr>
          <a:xfrm flipV="1">
            <a:off x="10681607" y="1673630"/>
            <a:ext cx="459211" cy="255862"/>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0" name="Straight Arrow Connector 39"/>
          <xdr:cNvCxnSpPr>
            <a:stCxn id="21" idx="0"/>
            <a:endCxn id="36" idx="5"/>
          </xdr:cNvCxnSpPr>
        </xdr:nvCxnSpPr>
        <xdr:spPr>
          <a:xfrm flipH="1" flipV="1">
            <a:off x="12592922" y="1673630"/>
            <a:ext cx="392535" cy="274912"/>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118463</xdr:colOff>
      <xdr:row>33</xdr:row>
      <xdr:rowOff>93649</xdr:rowOff>
    </xdr:from>
    <xdr:to>
      <xdr:col>0</xdr:col>
      <xdr:colOff>3619501</xdr:colOff>
      <xdr:row>47</xdr:row>
      <xdr:rowOff>169849</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package" Target="../embeddings/Microsoft_Word_Document1.docx"/></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sheetPr>
  <dimension ref="A1:A10"/>
  <sheetViews>
    <sheetView tabSelected="1" zoomScale="205" zoomScaleNormal="205" workbookViewId="0"/>
  </sheetViews>
  <sheetFormatPr defaultRowHeight="15" x14ac:dyDescent="0.25"/>
  <sheetData>
    <row r="1" spans="1:1" x14ac:dyDescent="0.25">
      <c r="A1" t="s">
        <v>214</v>
      </c>
    </row>
    <row r="2" spans="1:1" x14ac:dyDescent="0.25">
      <c r="A2" s="1" t="s">
        <v>9</v>
      </c>
    </row>
    <row r="3" spans="1:1" x14ac:dyDescent="0.25">
      <c r="A3" s="3" t="s">
        <v>11</v>
      </c>
    </row>
    <row r="4" spans="1:1" x14ac:dyDescent="0.25">
      <c r="A4" s="3" t="s">
        <v>6</v>
      </c>
    </row>
    <row r="5" spans="1:1" x14ac:dyDescent="0.25">
      <c r="A5" s="3" t="s">
        <v>7</v>
      </c>
    </row>
    <row r="6" spans="1:1" x14ac:dyDescent="0.25">
      <c r="A6" s="3" t="s">
        <v>8</v>
      </c>
    </row>
    <row r="7" spans="1:1" x14ac:dyDescent="0.25">
      <c r="A7" s="1" t="s">
        <v>12</v>
      </c>
    </row>
    <row r="8" spans="1:1" x14ac:dyDescent="0.25">
      <c r="A8" s="3" t="s">
        <v>21</v>
      </c>
    </row>
    <row r="9" spans="1:1" x14ac:dyDescent="0.25">
      <c r="A9" s="1" t="s">
        <v>10</v>
      </c>
    </row>
    <row r="10" spans="1:1" x14ac:dyDescent="0.25">
      <c r="A10" s="3" t="s">
        <v>265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sheetPr>
  <dimension ref="A1:A12"/>
  <sheetViews>
    <sheetView zoomScale="160" zoomScaleNormal="160" workbookViewId="0"/>
  </sheetViews>
  <sheetFormatPr defaultRowHeight="15" x14ac:dyDescent="0.25"/>
  <sheetData>
    <row r="1" spans="1:1" x14ac:dyDescent="0.25">
      <c r="A1" s="1" t="s">
        <v>0</v>
      </c>
    </row>
    <row r="2" spans="1:1" x14ac:dyDescent="0.25">
      <c r="A2" t="s">
        <v>18</v>
      </c>
    </row>
    <row r="3" spans="1:1" x14ac:dyDescent="0.25">
      <c r="A3" s="2" t="s">
        <v>13</v>
      </c>
    </row>
    <row r="4" spans="1:1" x14ac:dyDescent="0.25">
      <c r="A4" t="s">
        <v>14</v>
      </c>
    </row>
    <row r="5" spans="1:1" x14ac:dyDescent="0.25">
      <c r="A5" t="s">
        <v>15</v>
      </c>
    </row>
    <row r="6" spans="1:1" x14ac:dyDescent="0.25">
      <c r="A6" t="s">
        <v>16</v>
      </c>
    </row>
    <row r="7" spans="1:1" x14ac:dyDescent="0.25">
      <c r="A7" t="s">
        <v>17</v>
      </c>
    </row>
    <row r="8" spans="1:1" x14ac:dyDescent="0.25">
      <c r="A8" t="s">
        <v>1</v>
      </c>
    </row>
    <row r="9" spans="1:1" x14ac:dyDescent="0.25">
      <c r="A9" s="2" t="s">
        <v>2</v>
      </c>
    </row>
    <row r="10" spans="1:1" x14ac:dyDescent="0.25">
      <c r="A10" t="s">
        <v>3</v>
      </c>
    </row>
    <row r="11" spans="1:1" x14ac:dyDescent="0.25">
      <c r="A11" t="s">
        <v>4</v>
      </c>
    </row>
    <row r="12" spans="1:1" x14ac:dyDescent="0.25">
      <c r="A12" t="s">
        <v>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0000FF"/>
  </sheetPr>
  <dimension ref="A1"/>
  <sheetViews>
    <sheetView zoomScale="85" zoomScaleNormal="85" workbookViewId="0">
      <selection activeCell="P1" sqref="P1"/>
    </sheetView>
  </sheetViews>
  <sheetFormatPr defaultRowHeight="15" x14ac:dyDescent="0.25"/>
  <sheetData/>
  <pageMargins left="0.7" right="0.7" top="0.75" bottom="0.75" header="0.3" footer="0.3"/>
  <pageSetup orientation="portrait" r:id="rId1"/>
  <drawing r:id="rId2"/>
  <legacyDrawing r:id="rId3"/>
  <oleObjects>
    <mc:AlternateContent xmlns:mc="http://schemas.openxmlformats.org/markup-compatibility/2006">
      <mc:Choice Requires="x14">
        <oleObject progId="Word.Document.12" shapeId="6155" r:id="rId4">
          <objectPr defaultSize="0" r:id="rId5">
            <anchor moveWithCells="1">
              <from>
                <xdr:col>5</xdr:col>
                <xdr:colOff>0</xdr:colOff>
                <xdr:row>0</xdr:row>
                <xdr:rowOff>0</xdr:rowOff>
              </from>
              <to>
                <xdr:col>14</xdr:col>
                <xdr:colOff>466725</xdr:colOff>
                <xdr:row>27</xdr:row>
                <xdr:rowOff>123825</xdr:rowOff>
              </to>
            </anchor>
          </objectPr>
        </oleObject>
      </mc:Choice>
      <mc:Fallback>
        <oleObject progId="Word.Document.12" shapeId="6155" r:id="rId4"/>
      </mc:Fallback>
    </mc:AlternateContent>
  </oleObjec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pageSetUpPr fitToPage="1"/>
  </sheetPr>
  <dimension ref="A1:F31"/>
  <sheetViews>
    <sheetView zoomScale="85" zoomScaleNormal="85" workbookViewId="0">
      <selection activeCell="A25" sqref="A25"/>
    </sheetView>
  </sheetViews>
  <sheetFormatPr defaultRowHeight="15" x14ac:dyDescent="0.25"/>
  <cols>
    <col min="1" max="1" width="58.5703125" customWidth="1"/>
    <col min="2" max="2" width="12.5703125" customWidth="1"/>
  </cols>
  <sheetData>
    <row r="1" spans="1:6" x14ac:dyDescent="0.25">
      <c r="A1" s="36" t="s">
        <v>215</v>
      </c>
      <c r="B1" s="37"/>
      <c r="C1" s="37"/>
      <c r="D1" s="37"/>
      <c r="E1" s="37"/>
      <c r="F1" s="38"/>
    </row>
    <row r="2" spans="1:6" x14ac:dyDescent="0.25">
      <c r="A2" t="s">
        <v>216</v>
      </c>
      <c r="B2" t="s">
        <v>219</v>
      </c>
    </row>
    <row r="3" spans="1:6" x14ac:dyDescent="0.25">
      <c r="A3" t="s">
        <v>217</v>
      </c>
      <c r="B3" t="s">
        <v>218</v>
      </c>
    </row>
    <row r="4" spans="1:6" x14ac:dyDescent="0.25">
      <c r="A4" t="s">
        <v>291</v>
      </c>
      <c r="B4" s="39">
        <v>17430</v>
      </c>
    </row>
    <row r="5" spans="1:6" x14ac:dyDescent="0.25">
      <c r="A5" t="s">
        <v>220</v>
      </c>
      <c r="B5" s="39">
        <v>4.3</v>
      </c>
    </row>
    <row r="6" spans="1:6" x14ac:dyDescent="0.25">
      <c r="A6" t="s">
        <v>222</v>
      </c>
      <c r="B6" s="39">
        <v>1.1499999999999999</v>
      </c>
    </row>
    <row r="7" spans="1:6" x14ac:dyDescent="0.25">
      <c r="A7" t="s">
        <v>221</v>
      </c>
      <c r="B7" s="39">
        <v>4.17</v>
      </c>
    </row>
    <row r="8" spans="1:6" x14ac:dyDescent="0.25">
      <c r="A8" t="s">
        <v>223</v>
      </c>
      <c r="B8" s="39">
        <v>16.5</v>
      </c>
    </row>
    <row r="9" spans="1:6" x14ac:dyDescent="0.25">
      <c r="A9" t="s">
        <v>290</v>
      </c>
      <c r="B9" s="40">
        <v>0.02</v>
      </c>
    </row>
    <row r="10" spans="1:6" x14ac:dyDescent="0.25">
      <c r="A10" t="s">
        <v>224</v>
      </c>
      <c r="B10" t="s">
        <v>292</v>
      </c>
    </row>
    <row r="16" spans="1:6" x14ac:dyDescent="0.25">
      <c r="A16" s="1" t="s">
        <v>225</v>
      </c>
    </row>
    <row r="17" spans="1:6" x14ac:dyDescent="0.25">
      <c r="A17" t="s">
        <v>226</v>
      </c>
    </row>
    <row r="18" spans="1:6" x14ac:dyDescent="0.25">
      <c r="A18" t="s">
        <v>229</v>
      </c>
    </row>
    <row r="19" spans="1:6" x14ac:dyDescent="0.25">
      <c r="A19" t="s">
        <v>231</v>
      </c>
    </row>
    <row r="20" spans="1:6" x14ac:dyDescent="0.25">
      <c r="A20" t="s">
        <v>230</v>
      </c>
    </row>
    <row r="21" spans="1:6" x14ac:dyDescent="0.25">
      <c r="A21" t="s">
        <v>232</v>
      </c>
    </row>
    <row r="22" spans="1:6" x14ac:dyDescent="0.25">
      <c r="A22" t="s">
        <v>233</v>
      </c>
    </row>
    <row r="24" spans="1:6" x14ac:dyDescent="0.25">
      <c r="A24" s="41" t="s">
        <v>227</v>
      </c>
      <c r="B24" s="42"/>
      <c r="C24" s="42"/>
      <c r="D24" s="42"/>
      <c r="E24" s="42"/>
      <c r="F24" s="43"/>
    </row>
    <row r="25" spans="1:6" x14ac:dyDescent="0.25">
      <c r="A25" t="s">
        <v>293</v>
      </c>
      <c r="B25" s="44">
        <v>2000</v>
      </c>
      <c r="C25" s="14" t="s">
        <v>228</v>
      </c>
    </row>
    <row r="26" spans="1:6" x14ac:dyDescent="0.25">
      <c r="A26" t="str">
        <f t="shared" ref="A26:A31" si="0">A17</f>
        <v>Variable cost per unit = VC = MC + IC + LC</v>
      </c>
      <c r="B26" s="45">
        <f>SUM(B5:B7)</f>
        <v>9.6199999999999992</v>
      </c>
    </row>
    <row r="27" spans="1:6" x14ac:dyDescent="0.25">
      <c r="A27" t="str">
        <f t="shared" si="0"/>
        <v>Total Variable Costs = TVC(q) = VC*q</v>
      </c>
      <c r="B27" s="45">
        <f>B26*B25</f>
        <v>19240</v>
      </c>
    </row>
    <row r="28" spans="1:6" x14ac:dyDescent="0.25">
      <c r="A28" t="str">
        <f t="shared" si="0"/>
        <v>Total Costs = TC(q) = FC + TVC(q)</v>
      </c>
      <c r="B28" s="45">
        <f>B4+B27</f>
        <v>36670</v>
      </c>
    </row>
    <row r="29" spans="1:6" x14ac:dyDescent="0.25">
      <c r="A29" t="str">
        <f t="shared" si="0"/>
        <v>Total Revenue = TR(q) = R*q*(1-D)</v>
      </c>
      <c r="B29" s="45">
        <f>B8*B25*(1-B9)</f>
        <v>32340</v>
      </c>
    </row>
    <row r="30" spans="1:6" x14ac:dyDescent="0.25">
      <c r="A30" t="str">
        <f t="shared" si="0"/>
        <v>Total Profit = TP(q) =TR(q) - TC(q)</v>
      </c>
      <c r="B30" s="45">
        <f>B29-B28</f>
        <v>-4330</v>
      </c>
    </row>
    <row r="31" spans="1:6" x14ac:dyDescent="0.25">
      <c r="A31" t="str">
        <f t="shared" si="0"/>
        <v>Unit Break Even Point = UBE = FC/(R*(1-D)-VC)</v>
      </c>
      <c r="B31" s="46">
        <f>ROUNDUP(B4/(B8*(1-B9)-B26),0)</f>
        <v>2662</v>
      </c>
    </row>
  </sheetData>
  <printOptions horizontalCentered="1"/>
  <pageMargins left="0.4" right="0.4" top="0.4" bottom="0.75" header="0.3" footer="0.3"/>
  <pageSetup scale="65" orientation="landscape" r:id="rId1"/>
  <headerFooter>
    <oddFooter>&amp;L&amp;A&amp;RPage &amp;P of &amp;N</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pageSetUpPr fitToPage="1"/>
  </sheetPr>
  <dimension ref="A1:F34"/>
  <sheetViews>
    <sheetView zoomScale="70" zoomScaleNormal="70" workbookViewId="0">
      <selection activeCell="A25" sqref="A25"/>
    </sheetView>
  </sheetViews>
  <sheetFormatPr defaultRowHeight="15" x14ac:dyDescent="0.25"/>
  <cols>
    <col min="1" max="1" width="58.5703125" customWidth="1"/>
    <col min="2" max="2" width="12.5703125" customWidth="1"/>
  </cols>
  <sheetData>
    <row r="1" spans="1:6" x14ac:dyDescent="0.25">
      <c r="A1" s="36" t="s">
        <v>215</v>
      </c>
      <c r="B1" s="37"/>
      <c r="C1" s="37"/>
      <c r="D1" s="37"/>
      <c r="E1" s="37"/>
      <c r="F1" s="38"/>
    </row>
    <row r="2" spans="1:6" x14ac:dyDescent="0.25">
      <c r="A2" t="s">
        <v>216</v>
      </c>
      <c r="B2" t="s">
        <v>219</v>
      </c>
    </row>
    <row r="3" spans="1:6" x14ac:dyDescent="0.25">
      <c r="A3" t="s">
        <v>217</v>
      </c>
      <c r="B3" t="s">
        <v>218</v>
      </c>
    </row>
    <row r="4" spans="1:6" x14ac:dyDescent="0.25">
      <c r="A4" t="s">
        <v>291</v>
      </c>
      <c r="B4" s="39">
        <v>17430</v>
      </c>
    </row>
    <row r="5" spans="1:6" x14ac:dyDescent="0.25">
      <c r="A5" t="s">
        <v>220</v>
      </c>
      <c r="B5" s="39">
        <v>4.3</v>
      </c>
    </row>
    <row r="6" spans="1:6" x14ac:dyDescent="0.25">
      <c r="A6" t="s">
        <v>222</v>
      </c>
      <c r="B6" s="39">
        <v>1.1499999999999999</v>
      </c>
    </row>
    <row r="7" spans="1:6" x14ac:dyDescent="0.25">
      <c r="A7" t="s">
        <v>221</v>
      </c>
      <c r="B7" s="39">
        <v>4.17</v>
      </c>
    </row>
    <row r="8" spans="1:6" x14ac:dyDescent="0.25">
      <c r="A8" t="s">
        <v>223</v>
      </c>
      <c r="B8" s="39">
        <v>16.5</v>
      </c>
    </row>
    <row r="9" spans="1:6" x14ac:dyDescent="0.25">
      <c r="A9" t="s">
        <v>290</v>
      </c>
      <c r="B9" s="40">
        <v>0.02</v>
      </c>
    </row>
    <row r="10" spans="1:6" x14ac:dyDescent="0.25">
      <c r="A10" t="s">
        <v>224</v>
      </c>
      <c r="B10" t="s">
        <v>292</v>
      </c>
    </row>
    <row r="16" spans="1:6" x14ac:dyDescent="0.25">
      <c r="A16" s="1" t="s">
        <v>225</v>
      </c>
    </row>
    <row r="17" spans="1:6" x14ac:dyDescent="0.25">
      <c r="A17" t="s">
        <v>226</v>
      </c>
    </row>
    <row r="18" spans="1:6" x14ac:dyDescent="0.25">
      <c r="A18" t="s">
        <v>229</v>
      </c>
    </row>
    <row r="19" spans="1:6" x14ac:dyDescent="0.25">
      <c r="A19" t="s">
        <v>231</v>
      </c>
    </row>
    <row r="20" spans="1:6" x14ac:dyDescent="0.25">
      <c r="A20" t="s">
        <v>230</v>
      </c>
    </row>
    <row r="21" spans="1:6" x14ac:dyDescent="0.25">
      <c r="A21" t="s">
        <v>232</v>
      </c>
    </row>
    <row r="24" spans="1:6" x14ac:dyDescent="0.25">
      <c r="A24" s="41" t="s">
        <v>227</v>
      </c>
      <c r="B24" s="42"/>
      <c r="C24" s="42"/>
      <c r="D24" s="42"/>
      <c r="E24" s="42"/>
      <c r="F24" s="43"/>
    </row>
    <row r="25" spans="1:6" x14ac:dyDescent="0.25">
      <c r="A25" t="s">
        <v>293</v>
      </c>
      <c r="B25" s="44">
        <v>2000</v>
      </c>
      <c r="C25" s="14" t="s">
        <v>228</v>
      </c>
    </row>
    <row r="26" spans="1:6" x14ac:dyDescent="0.25">
      <c r="A26" t="str">
        <f>A17</f>
        <v>Variable cost per unit = VC = MC + IC + LC</v>
      </c>
      <c r="B26" s="45">
        <f>SUM(B5:B7)</f>
        <v>9.6199999999999992</v>
      </c>
    </row>
    <row r="27" spans="1:6" x14ac:dyDescent="0.25">
      <c r="A27" t="str">
        <f>A18</f>
        <v>Total Variable Costs = TVC(q) = VC*q</v>
      </c>
      <c r="B27" s="45">
        <f>B26*B25</f>
        <v>19240</v>
      </c>
    </row>
    <row r="28" spans="1:6" x14ac:dyDescent="0.25">
      <c r="A28" t="str">
        <f>A19</f>
        <v>Total Costs = TC(q) = FC + TVC(q)</v>
      </c>
      <c r="B28" s="45">
        <f>B4+B27</f>
        <v>36670</v>
      </c>
    </row>
    <row r="29" spans="1:6" x14ac:dyDescent="0.25">
      <c r="A29" t="str">
        <f>A20</f>
        <v>Total Revenue = TR(q) = R*q*(1-D)</v>
      </c>
      <c r="B29" s="45">
        <f>B8*B25*(1-B9)</f>
        <v>32340</v>
      </c>
    </row>
    <row r="30" spans="1:6" x14ac:dyDescent="0.25">
      <c r="A30" t="str">
        <f>A21</f>
        <v>Total Profit = TP(q) =TR(q) - TC(q)</v>
      </c>
      <c r="B30" s="45">
        <f>B29-B28</f>
        <v>-4330</v>
      </c>
    </row>
    <row r="31" spans="1:6" x14ac:dyDescent="0.25">
      <c r="B31" s="45"/>
    </row>
    <row r="33" spans="1:1" x14ac:dyDescent="0.25">
      <c r="A33" t="s">
        <v>266</v>
      </c>
    </row>
    <row r="34" spans="1:1" x14ac:dyDescent="0.25">
      <c r="A34" t="s">
        <v>267</v>
      </c>
    </row>
  </sheetData>
  <printOptions horizontalCentered="1"/>
  <pageMargins left="0.4" right="0.4" top="0.4" bottom="0.75" header="0.3" footer="0.3"/>
  <pageSetup orientation="landscape" r:id="rId1"/>
  <headerFooter>
    <oddFooter>&amp;L&amp;A&amp;RPage &amp;P of &amp;N</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pageSetUpPr fitToPage="1"/>
  </sheetPr>
  <dimension ref="A1:N62"/>
  <sheetViews>
    <sheetView zoomScale="70" zoomScaleNormal="70" workbookViewId="0">
      <selection activeCell="A25" sqref="A25"/>
    </sheetView>
  </sheetViews>
  <sheetFormatPr defaultRowHeight="15" x14ac:dyDescent="0.25"/>
  <cols>
    <col min="1" max="1" width="58.5703125" customWidth="1"/>
    <col min="2" max="2" width="12.5703125" customWidth="1"/>
    <col min="3" max="6" width="14.42578125" customWidth="1"/>
  </cols>
  <sheetData>
    <row r="1" spans="1:6" x14ac:dyDescent="0.25">
      <c r="A1" s="36" t="s">
        <v>215</v>
      </c>
      <c r="B1" s="37"/>
      <c r="C1" s="37"/>
      <c r="D1" s="37"/>
      <c r="E1" s="37"/>
      <c r="F1" s="38"/>
    </row>
    <row r="2" spans="1:6" x14ac:dyDescent="0.25">
      <c r="A2" t="s">
        <v>216</v>
      </c>
      <c r="B2" t="s">
        <v>219</v>
      </c>
    </row>
    <row r="3" spans="1:6" x14ac:dyDescent="0.25">
      <c r="A3" t="s">
        <v>217</v>
      </c>
      <c r="B3" t="s">
        <v>218</v>
      </c>
    </row>
    <row r="4" spans="1:6" x14ac:dyDescent="0.25">
      <c r="A4" t="s">
        <v>291</v>
      </c>
      <c r="B4" s="39">
        <v>17430</v>
      </c>
    </row>
    <row r="5" spans="1:6" x14ac:dyDescent="0.25">
      <c r="A5" t="s">
        <v>220</v>
      </c>
      <c r="B5" s="39">
        <v>4.3</v>
      </c>
    </row>
    <row r="6" spans="1:6" x14ac:dyDescent="0.25">
      <c r="A6" t="s">
        <v>222</v>
      </c>
      <c r="B6" s="39">
        <v>1.1499999999999999</v>
      </c>
    </row>
    <row r="7" spans="1:6" x14ac:dyDescent="0.25">
      <c r="A7" t="s">
        <v>221</v>
      </c>
      <c r="B7" s="39">
        <v>4.17</v>
      </c>
    </row>
    <row r="8" spans="1:6" x14ac:dyDescent="0.25">
      <c r="A8" t="s">
        <v>223</v>
      </c>
      <c r="B8" s="39">
        <v>16.5</v>
      </c>
    </row>
    <row r="9" spans="1:6" x14ac:dyDescent="0.25">
      <c r="A9" t="s">
        <v>290</v>
      </c>
      <c r="B9" s="40">
        <v>0.02</v>
      </c>
    </row>
    <row r="10" spans="1:6" x14ac:dyDescent="0.25">
      <c r="A10" t="s">
        <v>224</v>
      </c>
      <c r="B10" t="s">
        <v>292</v>
      </c>
    </row>
    <row r="11" spans="1:6" x14ac:dyDescent="0.25">
      <c r="A11" t="s">
        <v>235</v>
      </c>
      <c r="B11" s="48">
        <v>0</v>
      </c>
    </row>
    <row r="12" spans="1:6" x14ac:dyDescent="0.25">
      <c r="A12" t="s">
        <v>236</v>
      </c>
      <c r="B12">
        <v>500</v>
      </c>
    </row>
    <row r="16" spans="1:6" x14ac:dyDescent="0.25">
      <c r="A16" s="1" t="s">
        <v>225</v>
      </c>
    </row>
    <row r="17" spans="1:6" x14ac:dyDescent="0.25">
      <c r="A17" t="s">
        <v>226</v>
      </c>
    </row>
    <row r="18" spans="1:6" x14ac:dyDescent="0.25">
      <c r="A18" t="s">
        <v>229</v>
      </c>
    </row>
    <row r="19" spans="1:6" x14ac:dyDescent="0.25">
      <c r="A19" t="s">
        <v>231</v>
      </c>
    </row>
    <row r="20" spans="1:6" x14ac:dyDescent="0.25">
      <c r="A20" t="s">
        <v>230</v>
      </c>
    </row>
    <row r="21" spans="1:6" x14ac:dyDescent="0.25">
      <c r="A21" t="s">
        <v>232</v>
      </c>
    </row>
    <row r="22" spans="1:6" x14ac:dyDescent="0.25">
      <c r="A22" t="s">
        <v>233</v>
      </c>
    </row>
    <row r="24" spans="1:6" x14ac:dyDescent="0.25">
      <c r="A24" s="41" t="s">
        <v>227</v>
      </c>
      <c r="B24" s="42"/>
      <c r="C24" s="42"/>
      <c r="D24" s="42"/>
      <c r="E24" s="42"/>
      <c r="F24" s="43"/>
    </row>
    <row r="25" spans="1:6" x14ac:dyDescent="0.25">
      <c r="A25" t="s">
        <v>293</v>
      </c>
      <c r="B25" s="44">
        <v>2000</v>
      </c>
      <c r="C25" s="14" t="s">
        <v>228</v>
      </c>
      <c r="E25" t="s">
        <v>250</v>
      </c>
      <c r="F25" t="s">
        <v>251</v>
      </c>
    </row>
    <row r="26" spans="1:6" x14ac:dyDescent="0.25">
      <c r="A26" t="str">
        <f t="shared" ref="A26:A31" si="0">A17</f>
        <v>Variable cost per unit = VC = MC + IC + LC</v>
      </c>
      <c r="B26" s="45">
        <f>SUM(B5:B7)</f>
        <v>9.6199999999999992</v>
      </c>
      <c r="E26" s="62">
        <f>B31</f>
        <v>2662</v>
      </c>
      <c r="F26" s="45">
        <f>B4+E26*B26</f>
        <v>43038.44</v>
      </c>
    </row>
    <row r="27" spans="1:6" x14ac:dyDescent="0.25">
      <c r="A27" t="str">
        <f t="shared" si="0"/>
        <v>Total Variable Costs = TVC(q) = VC*q</v>
      </c>
      <c r="B27" s="45">
        <f>B26*B25</f>
        <v>19240</v>
      </c>
    </row>
    <row r="28" spans="1:6" x14ac:dyDescent="0.25">
      <c r="A28" t="str">
        <f t="shared" si="0"/>
        <v>Total Costs = TC(q) = FC + TVC(q)</v>
      </c>
      <c r="B28" s="45">
        <f>B4+B27</f>
        <v>36670</v>
      </c>
      <c r="E28" t="s">
        <v>252</v>
      </c>
    </row>
    <row r="29" spans="1:6" x14ac:dyDescent="0.25">
      <c r="A29" t="str">
        <f t="shared" si="0"/>
        <v>Total Revenue = TR(q) = R*q*(1-D)</v>
      </c>
      <c r="B29" s="45">
        <f>B8*B25*(1-B9)</f>
        <v>32340</v>
      </c>
      <c r="E29" s="62" t="str">
        <f>"BEU = "&amp;E26</f>
        <v>BEU = 2662</v>
      </c>
    </row>
    <row r="30" spans="1:6" x14ac:dyDescent="0.25">
      <c r="A30" t="str">
        <f t="shared" si="0"/>
        <v>Total Profit = TP(q) =TR(q) - TC(q)</v>
      </c>
      <c r="B30" s="45">
        <f>B29-B28</f>
        <v>-4330</v>
      </c>
    </row>
    <row r="31" spans="1:6" x14ac:dyDescent="0.25">
      <c r="A31" t="str">
        <f t="shared" si="0"/>
        <v>Unit Break Even Point = UBE = FC/(R*(1-D)-VC)</v>
      </c>
      <c r="B31" s="46">
        <f>ROUNDUP(B4/(B8*(1-B9)-B26),0)</f>
        <v>2662</v>
      </c>
    </row>
    <row r="33" spans="1:14" ht="15.75" x14ac:dyDescent="0.25">
      <c r="A33" s="50" t="s">
        <v>242</v>
      </c>
      <c r="C33" s="47" t="s">
        <v>237</v>
      </c>
      <c r="D33" s="47" t="s">
        <v>238</v>
      </c>
      <c r="E33" s="47" t="s">
        <v>239</v>
      </c>
      <c r="F33" s="47" t="s">
        <v>240</v>
      </c>
    </row>
    <row r="34" spans="1:14" x14ac:dyDescent="0.25">
      <c r="B34" s="47" t="s">
        <v>234</v>
      </c>
      <c r="C34" s="49">
        <f>B29</f>
        <v>32340</v>
      </c>
      <c r="D34" s="49">
        <f>B28</f>
        <v>36670</v>
      </c>
      <c r="E34" s="49">
        <f>B4</f>
        <v>17430</v>
      </c>
      <c r="F34" s="49">
        <f>B30</f>
        <v>-4330</v>
      </c>
      <c r="G34" s="1" t="s">
        <v>241</v>
      </c>
    </row>
    <row r="35" spans="1:14" x14ac:dyDescent="0.25">
      <c r="B35" s="55">
        <f>B11</f>
        <v>0</v>
      </c>
      <c r="C35" s="52">
        <f t="dataTable" ref="C35:F47" dt2D="0" dtr="0" r1="B25"/>
        <v>0</v>
      </c>
      <c r="D35" s="52">
        <v>17430</v>
      </c>
      <c r="E35" s="52">
        <v>17430</v>
      </c>
      <c r="F35" s="52">
        <v>-17430</v>
      </c>
      <c r="N35" s="1" t="s">
        <v>281</v>
      </c>
    </row>
    <row r="36" spans="1:14" x14ac:dyDescent="0.25">
      <c r="B36" s="55">
        <f t="shared" ref="B36:B47" si="1">B35+$B$12</f>
        <v>500</v>
      </c>
      <c r="C36" s="52">
        <v>8085</v>
      </c>
      <c r="D36" s="52">
        <v>22240</v>
      </c>
      <c r="E36" s="52">
        <v>17430</v>
      </c>
      <c r="F36" s="52">
        <v>-14155</v>
      </c>
      <c r="N36" t="s">
        <v>272</v>
      </c>
    </row>
    <row r="37" spans="1:14" x14ac:dyDescent="0.25">
      <c r="B37" s="55">
        <f t="shared" si="1"/>
        <v>1000</v>
      </c>
      <c r="C37" s="52">
        <v>16170</v>
      </c>
      <c r="D37" s="52">
        <v>27050</v>
      </c>
      <c r="E37" s="52">
        <v>17430</v>
      </c>
      <c r="F37" s="52">
        <v>-10880</v>
      </c>
      <c r="N37" t="s">
        <v>273</v>
      </c>
    </row>
    <row r="38" spans="1:14" x14ac:dyDescent="0.25">
      <c r="B38" s="55">
        <f t="shared" si="1"/>
        <v>1500</v>
      </c>
      <c r="C38" s="52">
        <v>24255</v>
      </c>
      <c r="D38" s="52">
        <v>31860</v>
      </c>
      <c r="E38" s="52">
        <v>17430</v>
      </c>
      <c r="F38" s="52">
        <v>-7605</v>
      </c>
      <c r="N38" t="s">
        <v>274</v>
      </c>
    </row>
    <row r="39" spans="1:14" x14ac:dyDescent="0.25">
      <c r="B39" s="55">
        <f t="shared" si="1"/>
        <v>2000</v>
      </c>
      <c r="C39" s="52">
        <v>32340</v>
      </c>
      <c r="D39" s="52">
        <v>36670</v>
      </c>
      <c r="E39" s="52">
        <v>17430</v>
      </c>
      <c r="F39" s="52">
        <v>-4330</v>
      </c>
      <c r="N39" t="s">
        <v>275</v>
      </c>
    </row>
    <row r="40" spans="1:14" x14ac:dyDescent="0.25">
      <c r="B40" s="55">
        <f t="shared" si="1"/>
        <v>2500</v>
      </c>
      <c r="C40" s="52">
        <v>40425</v>
      </c>
      <c r="D40" s="52">
        <v>41480</v>
      </c>
      <c r="E40" s="52">
        <v>17430</v>
      </c>
      <c r="F40" s="52">
        <v>-1055</v>
      </c>
      <c r="N40" t="s">
        <v>278</v>
      </c>
    </row>
    <row r="41" spans="1:14" x14ac:dyDescent="0.25">
      <c r="B41" s="55">
        <f t="shared" si="1"/>
        <v>3000</v>
      </c>
      <c r="C41" s="52">
        <v>48510</v>
      </c>
      <c r="D41" s="52">
        <v>46290</v>
      </c>
      <c r="E41" s="52">
        <v>17430</v>
      </c>
      <c r="F41" s="52">
        <v>2220</v>
      </c>
      <c r="N41" t="s">
        <v>268</v>
      </c>
    </row>
    <row r="42" spans="1:14" x14ac:dyDescent="0.25">
      <c r="B42" s="55">
        <f t="shared" si="1"/>
        <v>3500</v>
      </c>
      <c r="C42" s="52">
        <v>56595</v>
      </c>
      <c r="D42" s="52">
        <v>51100</v>
      </c>
      <c r="E42" s="52">
        <v>17430</v>
      </c>
      <c r="F42" s="52">
        <v>5495</v>
      </c>
      <c r="N42" t="s">
        <v>269</v>
      </c>
    </row>
    <row r="43" spans="1:14" x14ac:dyDescent="0.25">
      <c r="B43" s="55">
        <f t="shared" si="1"/>
        <v>4000</v>
      </c>
      <c r="C43" s="52">
        <v>64680</v>
      </c>
      <c r="D43" s="52">
        <v>55910</v>
      </c>
      <c r="E43" s="52">
        <v>17430</v>
      </c>
      <c r="F43" s="52">
        <v>8770</v>
      </c>
      <c r="N43" t="s">
        <v>276</v>
      </c>
    </row>
    <row r="44" spans="1:14" x14ac:dyDescent="0.25">
      <c r="B44" s="55">
        <f t="shared" si="1"/>
        <v>4500</v>
      </c>
      <c r="C44" s="52">
        <v>72765</v>
      </c>
      <c r="D44" s="52">
        <v>60720</v>
      </c>
      <c r="E44" s="52">
        <v>17430</v>
      </c>
      <c r="F44" s="52">
        <v>12045</v>
      </c>
      <c r="N44" t="s">
        <v>270</v>
      </c>
    </row>
    <row r="45" spans="1:14" x14ac:dyDescent="0.25">
      <c r="B45" s="55">
        <f t="shared" si="1"/>
        <v>5000</v>
      </c>
      <c r="C45" s="52">
        <v>80850</v>
      </c>
      <c r="D45" s="52">
        <v>65529.999999999993</v>
      </c>
      <c r="E45" s="52">
        <v>17430</v>
      </c>
      <c r="F45" s="52">
        <v>15320.000000000007</v>
      </c>
      <c r="N45" t="s">
        <v>277</v>
      </c>
    </row>
    <row r="46" spans="1:14" x14ac:dyDescent="0.25">
      <c r="B46" s="55">
        <f t="shared" si="1"/>
        <v>5500</v>
      </c>
      <c r="C46" s="52">
        <v>88935</v>
      </c>
      <c r="D46" s="52">
        <v>70340</v>
      </c>
      <c r="E46" s="52">
        <v>17430</v>
      </c>
      <c r="F46" s="52">
        <v>18595</v>
      </c>
      <c r="N46" t="s">
        <v>271</v>
      </c>
    </row>
    <row r="47" spans="1:14" x14ac:dyDescent="0.25">
      <c r="B47" s="55">
        <f t="shared" si="1"/>
        <v>6000</v>
      </c>
      <c r="C47" s="52">
        <v>97020</v>
      </c>
      <c r="D47" s="52">
        <v>75150</v>
      </c>
      <c r="E47" s="52">
        <v>17430</v>
      </c>
      <c r="F47" s="52">
        <v>21870</v>
      </c>
    </row>
    <row r="49" spans="1:6" ht="15.75" x14ac:dyDescent="0.25">
      <c r="A49" s="50" t="s">
        <v>243</v>
      </c>
      <c r="B49" s="7" t="s">
        <v>244</v>
      </c>
      <c r="C49" s="7" t="s">
        <v>237</v>
      </c>
      <c r="D49" s="7" t="s">
        <v>238</v>
      </c>
      <c r="E49" s="7" t="s">
        <v>239</v>
      </c>
      <c r="F49" s="7" t="s">
        <v>240</v>
      </c>
    </row>
    <row r="50" spans="1:6" ht="15.75" x14ac:dyDescent="0.25">
      <c r="B50" s="56">
        <f>B11</f>
        <v>0</v>
      </c>
      <c r="C50" s="51">
        <f>B50*$B$8*(1-$B$9)</f>
        <v>0</v>
      </c>
      <c r="D50" s="51">
        <f t="shared" ref="D50:D62" si="2">E50+B50*$B$26</f>
        <v>17430</v>
      </c>
      <c r="E50" s="51">
        <f>$B$4</f>
        <v>17430</v>
      </c>
      <c r="F50" s="51">
        <f t="shared" ref="F50:F62" si="3">C50-D50</f>
        <v>-17430</v>
      </c>
    </row>
    <row r="51" spans="1:6" ht="15.75" x14ac:dyDescent="0.25">
      <c r="B51" s="56">
        <f>B50+$B$12</f>
        <v>500</v>
      </c>
      <c r="C51" s="51">
        <f t="shared" ref="C51:C62" si="4">B51*$B$8*(1-$B$9)</f>
        <v>8085</v>
      </c>
      <c r="D51" s="51">
        <f t="shared" si="2"/>
        <v>22240</v>
      </c>
      <c r="E51" s="51">
        <f t="shared" ref="E51:E62" si="5">$B$4</f>
        <v>17430</v>
      </c>
      <c r="F51" s="51">
        <f t="shared" si="3"/>
        <v>-14155</v>
      </c>
    </row>
    <row r="52" spans="1:6" ht="15.75" x14ac:dyDescent="0.25">
      <c r="B52" s="56">
        <f t="shared" ref="B52:B60" si="6">B51+$B$12</f>
        <v>1000</v>
      </c>
      <c r="C52" s="51">
        <f t="shared" si="4"/>
        <v>16170</v>
      </c>
      <c r="D52" s="51">
        <f t="shared" si="2"/>
        <v>27050</v>
      </c>
      <c r="E52" s="51">
        <f t="shared" si="5"/>
        <v>17430</v>
      </c>
      <c r="F52" s="51">
        <f t="shared" si="3"/>
        <v>-10880</v>
      </c>
    </row>
    <row r="53" spans="1:6" ht="15.75" x14ac:dyDescent="0.25">
      <c r="B53" s="56">
        <f t="shared" si="6"/>
        <v>1500</v>
      </c>
      <c r="C53" s="51">
        <f t="shared" si="4"/>
        <v>24255</v>
      </c>
      <c r="D53" s="51">
        <f t="shared" si="2"/>
        <v>31860</v>
      </c>
      <c r="E53" s="51">
        <f t="shared" si="5"/>
        <v>17430</v>
      </c>
      <c r="F53" s="51">
        <f t="shared" si="3"/>
        <v>-7605</v>
      </c>
    </row>
    <row r="54" spans="1:6" ht="15.75" x14ac:dyDescent="0.25">
      <c r="B54" s="56">
        <f t="shared" si="6"/>
        <v>2000</v>
      </c>
      <c r="C54" s="51">
        <f t="shared" si="4"/>
        <v>32340</v>
      </c>
      <c r="D54" s="51">
        <f t="shared" si="2"/>
        <v>36670</v>
      </c>
      <c r="E54" s="51">
        <f t="shared" si="5"/>
        <v>17430</v>
      </c>
      <c r="F54" s="51">
        <f t="shared" si="3"/>
        <v>-4330</v>
      </c>
    </row>
    <row r="55" spans="1:6" ht="15.75" x14ac:dyDescent="0.25">
      <c r="B55" s="56">
        <f t="shared" si="6"/>
        <v>2500</v>
      </c>
      <c r="C55" s="51">
        <f t="shared" si="4"/>
        <v>40425</v>
      </c>
      <c r="D55" s="51">
        <f t="shared" si="2"/>
        <v>41480</v>
      </c>
      <c r="E55" s="51">
        <f t="shared" si="5"/>
        <v>17430</v>
      </c>
      <c r="F55" s="51">
        <f t="shared" si="3"/>
        <v>-1055</v>
      </c>
    </row>
    <row r="56" spans="1:6" ht="15.75" x14ac:dyDescent="0.25">
      <c r="B56" s="56">
        <f t="shared" si="6"/>
        <v>3000</v>
      </c>
      <c r="C56" s="51">
        <f t="shared" si="4"/>
        <v>48510</v>
      </c>
      <c r="D56" s="51">
        <f t="shared" si="2"/>
        <v>46290</v>
      </c>
      <c r="E56" s="51">
        <f t="shared" si="5"/>
        <v>17430</v>
      </c>
      <c r="F56" s="51">
        <f t="shared" si="3"/>
        <v>2220</v>
      </c>
    </row>
    <row r="57" spans="1:6" ht="15.75" x14ac:dyDescent="0.25">
      <c r="B57" s="56">
        <f t="shared" si="6"/>
        <v>3500</v>
      </c>
      <c r="C57" s="51">
        <f t="shared" si="4"/>
        <v>56595</v>
      </c>
      <c r="D57" s="51">
        <f t="shared" si="2"/>
        <v>51100</v>
      </c>
      <c r="E57" s="51">
        <f t="shared" si="5"/>
        <v>17430</v>
      </c>
      <c r="F57" s="51">
        <f t="shared" si="3"/>
        <v>5495</v>
      </c>
    </row>
    <row r="58" spans="1:6" ht="15.75" x14ac:dyDescent="0.25">
      <c r="B58" s="56">
        <f t="shared" si="6"/>
        <v>4000</v>
      </c>
      <c r="C58" s="51">
        <f t="shared" si="4"/>
        <v>64680</v>
      </c>
      <c r="D58" s="51">
        <f t="shared" si="2"/>
        <v>55910</v>
      </c>
      <c r="E58" s="51">
        <f t="shared" si="5"/>
        <v>17430</v>
      </c>
      <c r="F58" s="51">
        <f t="shared" si="3"/>
        <v>8770</v>
      </c>
    </row>
    <row r="59" spans="1:6" ht="15.75" x14ac:dyDescent="0.25">
      <c r="B59" s="56">
        <f t="shared" si="6"/>
        <v>4500</v>
      </c>
      <c r="C59" s="51">
        <f t="shared" si="4"/>
        <v>72765</v>
      </c>
      <c r="D59" s="51">
        <f t="shared" si="2"/>
        <v>60720</v>
      </c>
      <c r="E59" s="51">
        <f t="shared" si="5"/>
        <v>17430</v>
      </c>
      <c r="F59" s="51">
        <f t="shared" si="3"/>
        <v>12045</v>
      </c>
    </row>
    <row r="60" spans="1:6" ht="15.75" x14ac:dyDescent="0.25">
      <c r="B60" s="56">
        <f t="shared" si="6"/>
        <v>5000</v>
      </c>
      <c r="C60" s="51">
        <f t="shared" si="4"/>
        <v>80850</v>
      </c>
      <c r="D60" s="51">
        <f t="shared" si="2"/>
        <v>65529.999999999993</v>
      </c>
      <c r="E60" s="51">
        <f t="shared" si="5"/>
        <v>17430</v>
      </c>
      <c r="F60" s="51">
        <f t="shared" si="3"/>
        <v>15320.000000000007</v>
      </c>
    </row>
    <row r="61" spans="1:6" ht="15.75" x14ac:dyDescent="0.25">
      <c r="B61" s="56">
        <f t="shared" ref="B61:B62" si="7">B60+$B$12</f>
        <v>5500</v>
      </c>
      <c r="C61" s="51">
        <f t="shared" si="4"/>
        <v>88935</v>
      </c>
      <c r="D61" s="51">
        <f t="shared" si="2"/>
        <v>70340</v>
      </c>
      <c r="E61" s="51">
        <f t="shared" si="5"/>
        <v>17430</v>
      </c>
      <c r="F61" s="51">
        <f t="shared" si="3"/>
        <v>18595</v>
      </c>
    </row>
    <row r="62" spans="1:6" ht="15.75" x14ac:dyDescent="0.25">
      <c r="B62" s="56">
        <f t="shared" si="7"/>
        <v>6000</v>
      </c>
      <c r="C62" s="51">
        <f t="shared" si="4"/>
        <v>97020</v>
      </c>
      <c r="D62" s="51">
        <f t="shared" si="2"/>
        <v>75150</v>
      </c>
      <c r="E62" s="51">
        <f t="shared" si="5"/>
        <v>17430</v>
      </c>
      <c r="F62" s="51">
        <f t="shared" si="3"/>
        <v>21870</v>
      </c>
    </row>
  </sheetData>
  <printOptions horizontalCentered="1"/>
  <pageMargins left="0.4" right="0.4" top="0.4" bottom="0.75" header="0.3" footer="0.3"/>
  <pageSetup scale="88" orientation="landscape" r:id="rId1"/>
  <headerFooter>
    <oddFooter>&amp;L&amp;A&amp;RPage &amp;P of &amp;N</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pageSetUpPr fitToPage="1"/>
  </sheetPr>
  <dimension ref="A1:L62"/>
  <sheetViews>
    <sheetView zoomScale="70" zoomScaleNormal="70" workbookViewId="0">
      <selection activeCell="A25" sqref="A25"/>
    </sheetView>
  </sheetViews>
  <sheetFormatPr defaultRowHeight="15" x14ac:dyDescent="0.25"/>
  <cols>
    <col min="1" max="1" width="58.5703125" customWidth="1"/>
    <col min="2" max="2" width="12.5703125" customWidth="1"/>
    <col min="3" max="3" width="16.7109375" customWidth="1"/>
    <col min="4" max="6" width="14.42578125" customWidth="1"/>
  </cols>
  <sheetData>
    <row r="1" spans="1:6" x14ac:dyDescent="0.25">
      <c r="A1" s="36" t="s">
        <v>215</v>
      </c>
      <c r="B1" s="37"/>
      <c r="C1" s="37"/>
      <c r="D1" s="37"/>
      <c r="E1" s="37"/>
      <c r="F1" s="38"/>
    </row>
    <row r="2" spans="1:6" x14ac:dyDescent="0.25">
      <c r="A2" t="s">
        <v>216</v>
      </c>
      <c r="B2" t="s">
        <v>219</v>
      </c>
    </row>
    <row r="3" spans="1:6" x14ac:dyDescent="0.25">
      <c r="A3" t="s">
        <v>217</v>
      </c>
      <c r="B3" t="s">
        <v>218</v>
      </c>
    </row>
    <row r="4" spans="1:6" x14ac:dyDescent="0.25">
      <c r="A4" t="s">
        <v>291</v>
      </c>
      <c r="B4" s="39">
        <v>17430</v>
      </c>
    </row>
    <row r="5" spans="1:6" x14ac:dyDescent="0.25">
      <c r="A5" t="s">
        <v>220</v>
      </c>
      <c r="B5" s="39">
        <v>4.3</v>
      </c>
    </row>
    <row r="6" spans="1:6" x14ac:dyDescent="0.25">
      <c r="A6" t="s">
        <v>222</v>
      </c>
      <c r="B6" s="39">
        <v>1.1499999999999999</v>
      </c>
    </row>
    <row r="7" spans="1:6" x14ac:dyDescent="0.25">
      <c r="A7" t="s">
        <v>221</v>
      </c>
      <c r="B7" s="39">
        <v>4.17</v>
      </c>
    </row>
    <row r="8" spans="1:6" x14ac:dyDescent="0.25">
      <c r="A8" t="s">
        <v>223</v>
      </c>
      <c r="B8" s="39">
        <v>16.5</v>
      </c>
    </row>
    <row r="9" spans="1:6" x14ac:dyDescent="0.25">
      <c r="A9" t="s">
        <v>290</v>
      </c>
      <c r="B9" s="40">
        <v>0.02</v>
      </c>
    </row>
    <row r="10" spans="1:6" x14ac:dyDescent="0.25">
      <c r="A10" t="s">
        <v>224</v>
      </c>
      <c r="B10" t="s">
        <v>292</v>
      </c>
    </row>
    <row r="11" spans="1:6" x14ac:dyDescent="0.25">
      <c r="A11" t="s">
        <v>235</v>
      </c>
      <c r="B11" s="48">
        <v>1000</v>
      </c>
    </row>
    <row r="12" spans="1:6" x14ac:dyDescent="0.25">
      <c r="A12" t="s">
        <v>236</v>
      </c>
      <c r="B12">
        <v>500</v>
      </c>
    </row>
    <row r="13" spans="1:6" x14ac:dyDescent="0.25">
      <c r="A13" t="s">
        <v>245</v>
      </c>
      <c r="B13" s="40">
        <v>0.02</v>
      </c>
    </row>
    <row r="14" spans="1:6" x14ac:dyDescent="0.25">
      <c r="A14" t="s">
        <v>246</v>
      </c>
      <c r="B14" s="40">
        <v>5.0000000000000001E-3</v>
      </c>
    </row>
    <row r="16" spans="1:6" x14ac:dyDescent="0.25">
      <c r="A16" s="1" t="s">
        <v>225</v>
      </c>
    </row>
    <row r="17" spans="1:8" x14ac:dyDescent="0.25">
      <c r="A17" t="s">
        <v>226</v>
      </c>
    </row>
    <row r="18" spans="1:8" x14ac:dyDescent="0.25">
      <c r="A18" t="s">
        <v>229</v>
      </c>
    </row>
    <row r="19" spans="1:8" x14ac:dyDescent="0.25">
      <c r="A19" t="s">
        <v>231</v>
      </c>
    </row>
    <row r="20" spans="1:8" x14ac:dyDescent="0.25">
      <c r="A20" t="s">
        <v>230</v>
      </c>
    </row>
    <row r="21" spans="1:8" x14ac:dyDescent="0.25">
      <c r="A21" t="s">
        <v>232</v>
      </c>
    </row>
    <row r="22" spans="1:8" x14ac:dyDescent="0.25">
      <c r="A22" t="s">
        <v>233</v>
      </c>
    </row>
    <row r="24" spans="1:8" x14ac:dyDescent="0.25">
      <c r="A24" s="41" t="s">
        <v>227</v>
      </c>
      <c r="B24" s="42"/>
      <c r="C24" s="42"/>
      <c r="D24" s="42"/>
      <c r="E24" s="42"/>
      <c r="F24" s="43"/>
    </row>
    <row r="25" spans="1:8" x14ac:dyDescent="0.25">
      <c r="A25" t="s">
        <v>293</v>
      </c>
      <c r="B25" s="44">
        <v>2000</v>
      </c>
      <c r="C25" s="14" t="s">
        <v>228</v>
      </c>
    </row>
    <row r="26" spans="1:8" x14ac:dyDescent="0.25">
      <c r="A26" t="str">
        <f t="shared" ref="A26:A31" si="0">A17</f>
        <v>Variable cost per unit = VC = MC + IC + LC</v>
      </c>
      <c r="B26" s="45">
        <f>SUM(B5:B7)</f>
        <v>9.6199999999999992</v>
      </c>
    </row>
    <row r="27" spans="1:8" x14ac:dyDescent="0.25">
      <c r="A27" t="str">
        <f t="shared" si="0"/>
        <v>Total Variable Costs = TVC(q) = VC*q</v>
      </c>
      <c r="B27" s="45">
        <f>B26*B25</f>
        <v>19240</v>
      </c>
    </row>
    <row r="28" spans="1:8" x14ac:dyDescent="0.25">
      <c r="A28" t="str">
        <f t="shared" si="0"/>
        <v>Total Costs = TC(q) = FC + TVC(q)</v>
      </c>
      <c r="B28" s="45">
        <f>B4+B27</f>
        <v>36670</v>
      </c>
    </row>
    <row r="29" spans="1:8" x14ac:dyDescent="0.25">
      <c r="A29" t="str">
        <f t="shared" si="0"/>
        <v>Total Revenue = TR(q) = R*q*(1-D)</v>
      </c>
      <c r="B29" s="45">
        <f>B8*B25*(1-B9)</f>
        <v>32340</v>
      </c>
    </row>
    <row r="30" spans="1:8" x14ac:dyDescent="0.25">
      <c r="A30" t="str">
        <f t="shared" si="0"/>
        <v>Total Profit = TP(q) =TR(q) - TC(q)</v>
      </c>
      <c r="B30" s="45">
        <f>B29-B28</f>
        <v>-4330</v>
      </c>
    </row>
    <row r="31" spans="1:8" x14ac:dyDescent="0.25">
      <c r="A31" t="str">
        <f t="shared" si="0"/>
        <v>Unit Break Even Point = UBE = FC/(R*(1-D)-VC)</v>
      </c>
      <c r="B31" s="46">
        <f>ROUNDUP(B4/(B8*(1-B9)-B26),0)</f>
        <v>2662</v>
      </c>
    </row>
    <row r="32" spans="1:8" x14ac:dyDescent="0.25">
      <c r="D32" s="67" t="str">
        <f>A9</f>
        <v>% of boomerangs made, but not sold (defects &amp; returns) = D</v>
      </c>
      <c r="E32" s="68"/>
      <c r="F32" s="68"/>
      <c r="G32" s="68"/>
      <c r="H32" s="69"/>
    </row>
    <row r="33" spans="2:12" x14ac:dyDescent="0.25">
      <c r="B33" s="54" t="s">
        <v>247</v>
      </c>
      <c r="C33" s="49">
        <f>B30</f>
        <v>-4330</v>
      </c>
      <c r="D33" s="53">
        <f>B13</f>
        <v>0.02</v>
      </c>
      <c r="E33" s="53">
        <f>D33+$B$14</f>
        <v>2.5000000000000001E-2</v>
      </c>
      <c r="F33" s="53">
        <f t="shared" ref="F33:H33" si="1">E33+$B$14</f>
        <v>3.0000000000000002E-2</v>
      </c>
      <c r="G33" s="53">
        <f t="shared" si="1"/>
        <v>3.5000000000000003E-2</v>
      </c>
      <c r="H33" s="53">
        <f t="shared" si="1"/>
        <v>0.04</v>
      </c>
      <c r="L33" s="1" t="s">
        <v>289</v>
      </c>
    </row>
    <row r="34" spans="2:12" x14ac:dyDescent="0.25">
      <c r="B34" s="64" t="str">
        <f>A25</f>
        <v>Production Volume = Units Produced = Quantity = q</v>
      </c>
      <c r="C34" s="55">
        <f>B11</f>
        <v>1000</v>
      </c>
      <c r="D34" s="52">
        <f t="dataTable" ref="D34:H46" dt2D="1" dtr="1" r1="B9" r2="B25"/>
        <v>-10880</v>
      </c>
      <c r="E34" s="52">
        <v>-10962.5</v>
      </c>
      <c r="F34" s="52">
        <v>-11045</v>
      </c>
      <c r="G34" s="52">
        <v>-11127.5</v>
      </c>
      <c r="H34" s="52">
        <v>-11210</v>
      </c>
      <c r="L34" t="s">
        <v>272</v>
      </c>
    </row>
    <row r="35" spans="2:12" x14ac:dyDescent="0.25">
      <c r="B35" s="65"/>
      <c r="C35" s="55">
        <f>C34+$B$12</f>
        <v>1500</v>
      </c>
      <c r="D35" s="52">
        <v>-7605</v>
      </c>
      <c r="E35" s="52">
        <v>-7728.75</v>
      </c>
      <c r="F35" s="52">
        <v>-7852.5</v>
      </c>
      <c r="G35" s="52">
        <v>-7976.25</v>
      </c>
      <c r="H35" s="52">
        <v>-8100</v>
      </c>
      <c r="L35" t="s">
        <v>282</v>
      </c>
    </row>
    <row r="36" spans="2:12" x14ac:dyDescent="0.25">
      <c r="B36" s="65"/>
      <c r="C36" s="55">
        <f t="shared" ref="C36:C46" si="2">C35+$B$12</f>
        <v>2000</v>
      </c>
      <c r="D36" s="52">
        <v>-4330</v>
      </c>
      <c r="E36" s="52">
        <v>-4495</v>
      </c>
      <c r="F36" s="52">
        <v>-4660</v>
      </c>
      <c r="G36" s="52">
        <v>-4825</v>
      </c>
      <c r="H36" s="52">
        <v>-4990</v>
      </c>
      <c r="L36" t="s">
        <v>283</v>
      </c>
    </row>
    <row r="37" spans="2:12" x14ac:dyDescent="0.25">
      <c r="B37" s="65"/>
      <c r="C37" s="55">
        <f t="shared" si="2"/>
        <v>2500</v>
      </c>
      <c r="D37" s="52">
        <v>-1055</v>
      </c>
      <c r="E37" s="52">
        <v>-1261.25</v>
      </c>
      <c r="F37" s="52">
        <v>-1467.5</v>
      </c>
      <c r="G37" s="52">
        <v>-1673.75</v>
      </c>
      <c r="H37" s="52">
        <v>-1880</v>
      </c>
      <c r="L37" t="s">
        <v>284</v>
      </c>
    </row>
    <row r="38" spans="2:12" x14ac:dyDescent="0.25">
      <c r="B38" s="65"/>
      <c r="C38" s="55">
        <f t="shared" si="2"/>
        <v>3000</v>
      </c>
      <c r="D38" s="52">
        <v>2220</v>
      </c>
      <c r="E38" s="52">
        <v>1972.5</v>
      </c>
      <c r="F38" s="52">
        <v>1725</v>
      </c>
      <c r="G38" s="52">
        <v>1477.5</v>
      </c>
      <c r="H38" s="52">
        <v>1230</v>
      </c>
      <c r="L38" t="s">
        <v>285</v>
      </c>
    </row>
    <row r="39" spans="2:12" x14ac:dyDescent="0.25">
      <c r="B39" s="65"/>
      <c r="C39" s="55">
        <f t="shared" si="2"/>
        <v>3500</v>
      </c>
      <c r="D39" s="52">
        <v>5495</v>
      </c>
      <c r="E39" s="52">
        <v>5206.25</v>
      </c>
      <c r="F39" s="52">
        <v>4917.5</v>
      </c>
      <c r="G39" s="52">
        <v>4628.75</v>
      </c>
      <c r="H39" s="52">
        <v>4340</v>
      </c>
      <c r="L39" t="s">
        <v>268</v>
      </c>
    </row>
    <row r="40" spans="2:12" x14ac:dyDescent="0.25">
      <c r="B40" s="65"/>
      <c r="C40" s="55">
        <f t="shared" si="2"/>
        <v>4000</v>
      </c>
      <c r="D40" s="52">
        <v>8770</v>
      </c>
      <c r="E40" s="52">
        <v>8440</v>
      </c>
      <c r="F40" s="52">
        <v>8110</v>
      </c>
      <c r="G40" s="52">
        <v>7780</v>
      </c>
      <c r="H40" s="52">
        <v>7450</v>
      </c>
      <c r="L40" t="s">
        <v>269</v>
      </c>
    </row>
    <row r="41" spans="2:12" x14ac:dyDescent="0.25">
      <c r="B41" s="65"/>
      <c r="C41" s="55">
        <f t="shared" si="2"/>
        <v>4500</v>
      </c>
      <c r="D41" s="52">
        <v>12045</v>
      </c>
      <c r="E41" s="52">
        <v>11673.75</v>
      </c>
      <c r="F41" s="52">
        <v>11302.5</v>
      </c>
      <c r="G41" s="52">
        <v>10931.25</v>
      </c>
      <c r="H41" s="52">
        <v>10560</v>
      </c>
      <c r="L41" t="s">
        <v>286</v>
      </c>
    </row>
    <row r="42" spans="2:12" x14ac:dyDescent="0.25">
      <c r="B42" s="65"/>
      <c r="C42" s="55">
        <f t="shared" si="2"/>
        <v>5000</v>
      </c>
      <c r="D42" s="52">
        <v>15320.000000000007</v>
      </c>
      <c r="E42" s="52">
        <v>14907.500000000007</v>
      </c>
      <c r="F42" s="52">
        <v>14495.000000000007</v>
      </c>
      <c r="G42" s="52">
        <v>14082.500000000007</v>
      </c>
      <c r="H42" s="52">
        <v>13670.000000000007</v>
      </c>
      <c r="L42" t="s">
        <v>287</v>
      </c>
    </row>
    <row r="43" spans="2:12" x14ac:dyDescent="0.25">
      <c r="B43" s="65"/>
      <c r="C43" s="55">
        <f t="shared" si="2"/>
        <v>5500</v>
      </c>
      <c r="D43" s="52">
        <v>18595</v>
      </c>
      <c r="E43" s="52">
        <v>18141.25</v>
      </c>
      <c r="F43" s="52">
        <v>17687.5</v>
      </c>
      <c r="G43" s="52">
        <v>17233.75</v>
      </c>
      <c r="H43" s="52">
        <v>16780</v>
      </c>
      <c r="L43" t="s">
        <v>279</v>
      </c>
    </row>
    <row r="44" spans="2:12" x14ac:dyDescent="0.25">
      <c r="B44" s="65"/>
      <c r="C44" s="55">
        <f t="shared" si="2"/>
        <v>6000</v>
      </c>
      <c r="D44" s="52">
        <v>21870</v>
      </c>
      <c r="E44" s="52">
        <v>21375</v>
      </c>
      <c r="F44" s="52">
        <v>20880</v>
      </c>
      <c r="G44" s="52">
        <v>20385</v>
      </c>
      <c r="H44" s="52">
        <v>19890</v>
      </c>
      <c r="L44" t="s">
        <v>288</v>
      </c>
    </row>
    <row r="45" spans="2:12" x14ac:dyDescent="0.25">
      <c r="B45" s="65"/>
      <c r="C45" s="55">
        <f t="shared" si="2"/>
        <v>6500</v>
      </c>
      <c r="D45" s="52">
        <v>25145</v>
      </c>
      <c r="E45" s="52">
        <v>24608.75</v>
      </c>
      <c r="F45" s="52">
        <v>24072.5</v>
      </c>
      <c r="G45" s="52">
        <v>23536.25</v>
      </c>
      <c r="H45" s="52">
        <v>23000</v>
      </c>
      <c r="L45" t="s">
        <v>280</v>
      </c>
    </row>
    <row r="46" spans="2:12" x14ac:dyDescent="0.25">
      <c r="B46" s="66"/>
      <c r="C46" s="55">
        <f t="shared" si="2"/>
        <v>7000</v>
      </c>
      <c r="D46" s="52">
        <v>28420</v>
      </c>
      <c r="E46" s="52">
        <v>27842.5</v>
      </c>
      <c r="F46" s="52">
        <v>27265</v>
      </c>
      <c r="G46" s="52">
        <v>26687.5</v>
      </c>
      <c r="H46" s="52">
        <v>26110</v>
      </c>
    </row>
    <row r="49" spans="1:8" ht="15.75" x14ac:dyDescent="0.25">
      <c r="A49" s="50" t="s">
        <v>248</v>
      </c>
      <c r="B49" s="57"/>
      <c r="C49" s="58" t="s">
        <v>249</v>
      </c>
      <c r="D49" s="59">
        <f>B13</f>
        <v>0.02</v>
      </c>
      <c r="E49" s="59">
        <f>D49+$B$14</f>
        <v>2.5000000000000001E-2</v>
      </c>
      <c r="F49" s="59">
        <f t="shared" ref="F49:H49" si="3">E49+$B$14</f>
        <v>3.0000000000000002E-2</v>
      </c>
      <c r="G49" s="59">
        <f t="shared" si="3"/>
        <v>3.5000000000000003E-2</v>
      </c>
      <c r="H49" s="59">
        <f t="shared" si="3"/>
        <v>0.04</v>
      </c>
    </row>
    <row r="50" spans="1:8" ht="15.75" x14ac:dyDescent="0.25">
      <c r="A50" s="4"/>
      <c r="C50" s="60">
        <f>B11</f>
        <v>1000</v>
      </c>
      <c r="D50" s="51">
        <f t="shared" ref="D50:H62" si="4">$C50*$B$8*(1-D$49)-($C50*$B$26+$B$4)</f>
        <v>-10880</v>
      </c>
      <c r="E50" s="51">
        <f t="shared" si="4"/>
        <v>-10962.5</v>
      </c>
      <c r="F50" s="51">
        <f t="shared" si="4"/>
        <v>-11045</v>
      </c>
      <c r="G50" s="51">
        <f t="shared" si="4"/>
        <v>-11127.5</v>
      </c>
      <c r="H50" s="51">
        <f t="shared" si="4"/>
        <v>-11210</v>
      </c>
    </row>
    <row r="51" spans="1:8" ht="15.75" x14ac:dyDescent="0.25">
      <c r="A51" s="4"/>
      <c r="C51" s="61">
        <f>C50+$B$12</f>
        <v>1500</v>
      </c>
      <c r="D51" s="51">
        <f t="shared" si="4"/>
        <v>-7605</v>
      </c>
      <c r="E51" s="51">
        <f t="shared" si="4"/>
        <v>-7728.75</v>
      </c>
      <c r="F51" s="51">
        <f t="shared" si="4"/>
        <v>-7852.5</v>
      </c>
      <c r="G51" s="51">
        <f t="shared" si="4"/>
        <v>-7976.25</v>
      </c>
      <c r="H51" s="51">
        <f t="shared" si="4"/>
        <v>-8100</v>
      </c>
    </row>
    <row r="52" spans="1:8" ht="15.75" x14ac:dyDescent="0.25">
      <c r="A52" s="4"/>
      <c r="C52" s="61">
        <f t="shared" ref="C52:C62" si="5">C51+$B$12</f>
        <v>2000</v>
      </c>
      <c r="D52" s="51">
        <f t="shared" si="4"/>
        <v>-4330</v>
      </c>
      <c r="E52" s="51">
        <f t="shared" si="4"/>
        <v>-4495</v>
      </c>
      <c r="F52" s="51">
        <f t="shared" si="4"/>
        <v>-4660</v>
      </c>
      <c r="G52" s="51">
        <f t="shared" si="4"/>
        <v>-4825</v>
      </c>
      <c r="H52" s="51">
        <f t="shared" si="4"/>
        <v>-4990</v>
      </c>
    </row>
    <row r="53" spans="1:8" ht="15.75" x14ac:dyDescent="0.25">
      <c r="A53" s="4"/>
      <c r="C53" s="61">
        <f t="shared" si="5"/>
        <v>2500</v>
      </c>
      <c r="D53" s="51">
        <f t="shared" si="4"/>
        <v>-1055</v>
      </c>
      <c r="E53" s="51">
        <f t="shared" si="4"/>
        <v>-1261.25</v>
      </c>
      <c r="F53" s="51">
        <f t="shared" si="4"/>
        <v>-1467.5</v>
      </c>
      <c r="G53" s="51">
        <f t="shared" si="4"/>
        <v>-1673.75</v>
      </c>
      <c r="H53" s="51">
        <f t="shared" si="4"/>
        <v>-1880</v>
      </c>
    </row>
    <row r="54" spans="1:8" ht="15.75" x14ac:dyDescent="0.25">
      <c r="A54" s="4"/>
      <c r="C54" s="61">
        <f t="shared" si="5"/>
        <v>3000</v>
      </c>
      <c r="D54" s="51">
        <f t="shared" si="4"/>
        <v>2220</v>
      </c>
      <c r="E54" s="51">
        <f t="shared" si="4"/>
        <v>1972.5</v>
      </c>
      <c r="F54" s="51">
        <f t="shared" si="4"/>
        <v>1725</v>
      </c>
      <c r="G54" s="51">
        <f t="shared" si="4"/>
        <v>1477.5</v>
      </c>
      <c r="H54" s="51">
        <f t="shared" si="4"/>
        <v>1230</v>
      </c>
    </row>
    <row r="55" spans="1:8" ht="15.75" x14ac:dyDescent="0.25">
      <c r="A55" s="4"/>
      <c r="C55" s="61">
        <f t="shared" si="5"/>
        <v>3500</v>
      </c>
      <c r="D55" s="51">
        <f t="shared" si="4"/>
        <v>5495</v>
      </c>
      <c r="E55" s="51">
        <f t="shared" si="4"/>
        <v>5206.25</v>
      </c>
      <c r="F55" s="51">
        <f t="shared" si="4"/>
        <v>4917.5</v>
      </c>
      <c r="G55" s="51">
        <f t="shared" si="4"/>
        <v>4628.75</v>
      </c>
      <c r="H55" s="51">
        <f t="shared" si="4"/>
        <v>4340</v>
      </c>
    </row>
    <row r="56" spans="1:8" ht="15.75" x14ac:dyDescent="0.25">
      <c r="A56" s="4"/>
      <c r="C56" s="61">
        <f t="shared" si="5"/>
        <v>4000</v>
      </c>
      <c r="D56" s="51">
        <f t="shared" si="4"/>
        <v>8770</v>
      </c>
      <c r="E56" s="51">
        <f t="shared" si="4"/>
        <v>8440</v>
      </c>
      <c r="F56" s="51">
        <f t="shared" si="4"/>
        <v>8110</v>
      </c>
      <c r="G56" s="51">
        <f t="shared" si="4"/>
        <v>7780</v>
      </c>
      <c r="H56" s="51">
        <f t="shared" si="4"/>
        <v>7450</v>
      </c>
    </row>
    <row r="57" spans="1:8" ht="15.75" x14ac:dyDescent="0.25">
      <c r="A57" s="4"/>
      <c r="C57" s="61">
        <f t="shared" si="5"/>
        <v>4500</v>
      </c>
      <c r="D57" s="51">
        <f t="shared" si="4"/>
        <v>12045</v>
      </c>
      <c r="E57" s="51">
        <f t="shared" si="4"/>
        <v>11673.75</v>
      </c>
      <c r="F57" s="51">
        <f t="shared" si="4"/>
        <v>11302.5</v>
      </c>
      <c r="G57" s="51">
        <f t="shared" si="4"/>
        <v>10931.25</v>
      </c>
      <c r="H57" s="51">
        <f t="shared" si="4"/>
        <v>10560</v>
      </c>
    </row>
    <row r="58" spans="1:8" ht="15.75" x14ac:dyDescent="0.25">
      <c r="A58" s="4"/>
      <c r="C58" s="61">
        <f t="shared" si="5"/>
        <v>5000</v>
      </c>
      <c r="D58" s="51">
        <f t="shared" si="4"/>
        <v>15320.000000000007</v>
      </c>
      <c r="E58" s="51">
        <f t="shared" si="4"/>
        <v>14907.500000000007</v>
      </c>
      <c r="F58" s="51">
        <f t="shared" si="4"/>
        <v>14495.000000000007</v>
      </c>
      <c r="G58" s="51">
        <f t="shared" si="4"/>
        <v>14082.500000000007</v>
      </c>
      <c r="H58" s="51">
        <f t="shared" si="4"/>
        <v>13670.000000000007</v>
      </c>
    </row>
    <row r="59" spans="1:8" ht="15.75" x14ac:dyDescent="0.25">
      <c r="A59" s="4"/>
      <c r="C59" s="61">
        <f t="shared" si="5"/>
        <v>5500</v>
      </c>
      <c r="D59" s="51">
        <f t="shared" si="4"/>
        <v>18595</v>
      </c>
      <c r="E59" s="51">
        <f t="shared" si="4"/>
        <v>18141.25</v>
      </c>
      <c r="F59" s="51">
        <f t="shared" si="4"/>
        <v>17687.5</v>
      </c>
      <c r="G59" s="51">
        <f t="shared" si="4"/>
        <v>17233.75</v>
      </c>
      <c r="H59" s="51">
        <f t="shared" si="4"/>
        <v>16780</v>
      </c>
    </row>
    <row r="60" spans="1:8" ht="15.75" x14ac:dyDescent="0.25">
      <c r="A60" s="4"/>
      <c r="C60" s="61">
        <f t="shared" si="5"/>
        <v>6000</v>
      </c>
      <c r="D60" s="51">
        <f t="shared" si="4"/>
        <v>21870</v>
      </c>
      <c r="E60" s="51">
        <f t="shared" si="4"/>
        <v>21375</v>
      </c>
      <c r="F60" s="51">
        <f t="shared" si="4"/>
        <v>20880</v>
      </c>
      <c r="G60" s="51">
        <f t="shared" si="4"/>
        <v>20385</v>
      </c>
      <c r="H60" s="51">
        <f t="shared" si="4"/>
        <v>19890</v>
      </c>
    </row>
    <row r="61" spans="1:8" ht="15.75" x14ac:dyDescent="0.25">
      <c r="A61" s="4"/>
      <c r="B61" s="4"/>
      <c r="C61" s="61">
        <f t="shared" si="5"/>
        <v>6500</v>
      </c>
      <c r="D61" s="51">
        <f t="shared" si="4"/>
        <v>25145</v>
      </c>
      <c r="E61" s="51">
        <f t="shared" si="4"/>
        <v>24608.75</v>
      </c>
      <c r="F61" s="51">
        <f t="shared" si="4"/>
        <v>24072.5</v>
      </c>
      <c r="G61" s="51">
        <f t="shared" si="4"/>
        <v>23536.25</v>
      </c>
      <c r="H61" s="51">
        <f t="shared" si="4"/>
        <v>23000</v>
      </c>
    </row>
    <row r="62" spans="1:8" ht="15.75" x14ac:dyDescent="0.25">
      <c r="A62" s="4"/>
      <c r="B62" s="4"/>
      <c r="C62" s="61">
        <f t="shared" si="5"/>
        <v>7000</v>
      </c>
      <c r="D62" s="51">
        <f t="shared" si="4"/>
        <v>28420</v>
      </c>
      <c r="E62" s="51">
        <f t="shared" si="4"/>
        <v>27842.5</v>
      </c>
      <c r="F62" s="51">
        <f t="shared" si="4"/>
        <v>27265</v>
      </c>
      <c r="G62" s="51">
        <f t="shared" si="4"/>
        <v>26687.5</v>
      </c>
      <c r="H62" s="51">
        <f t="shared" si="4"/>
        <v>26110</v>
      </c>
    </row>
  </sheetData>
  <mergeCells count="2">
    <mergeCell ref="B34:B46"/>
    <mergeCell ref="D32:H32"/>
  </mergeCells>
  <printOptions horizontalCentered="1"/>
  <pageMargins left="0.4" right="0.4" top="0.4" bottom="0.75" header="0.3" footer="0.3"/>
  <pageSetup scale="87" orientation="landscape" r:id="rId1"/>
  <headerFooter>
    <oddFooter>&amp;L&amp;A&amp;RPage &amp;P of &amp;N</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0000"/>
    <pageSetUpPr fitToPage="1"/>
  </sheetPr>
  <dimension ref="A1:Q179"/>
  <sheetViews>
    <sheetView topLeftCell="D1" zoomScale="85" zoomScaleNormal="85" workbookViewId="0">
      <selection activeCell="B30" sqref="B30"/>
    </sheetView>
  </sheetViews>
  <sheetFormatPr defaultRowHeight="15.75" x14ac:dyDescent="0.25"/>
  <cols>
    <col min="1" max="1" width="11" style="4" bestFit="1" customWidth="1"/>
    <col min="2" max="2" width="14" style="4" customWidth="1"/>
    <col min="3" max="3" width="9.28515625" bestFit="1" customWidth="1"/>
    <col min="4" max="4" width="14.5703125" customWidth="1"/>
    <col min="5" max="5" width="4.5703125" customWidth="1"/>
    <col min="6" max="7" width="19.140625" customWidth="1"/>
    <col min="8" max="8" width="9.140625" style="4"/>
    <col min="9" max="10" width="10.7109375" style="4" customWidth="1"/>
    <col min="11" max="11" width="14.28515625" style="4" bestFit="1" customWidth="1"/>
    <col min="12" max="13" width="24.28515625" customWidth="1"/>
    <col min="15" max="16" width="9.140625" style="10"/>
    <col min="17" max="17" width="14.28515625" customWidth="1"/>
    <col min="18" max="16384" width="9.140625" style="10"/>
  </cols>
  <sheetData>
    <row r="1" spans="1:17" x14ac:dyDescent="0.25">
      <c r="A1" s="20" t="s">
        <v>208</v>
      </c>
      <c r="B1" s="21"/>
      <c r="C1" s="22"/>
      <c r="D1" s="22"/>
      <c r="E1" s="22"/>
      <c r="F1" s="22"/>
      <c r="G1" s="22"/>
      <c r="H1" s="21"/>
      <c r="I1" s="21"/>
      <c r="J1" s="23"/>
    </row>
    <row r="2" spans="1:17" x14ac:dyDescent="0.25">
      <c r="A2" s="24" t="s">
        <v>210</v>
      </c>
      <c r="B2" s="25"/>
      <c r="C2" s="26"/>
      <c r="D2" s="26"/>
      <c r="E2" s="26"/>
      <c r="F2" s="26"/>
      <c r="G2" s="26"/>
      <c r="H2" s="25"/>
      <c r="I2" s="25"/>
      <c r="J2" s="27"/>
    </row>
    <row r="3" spans="1:17" x14ac:dyDescent="0.25">
      <c r="A3" s="28" t="s">
        <v>211</v>
      </c>
      <c r="B3" s="29"/>
      <c r="C3" s="30"/>
      <c r="D3" s="30"/>
      <c r="E3" s="30"/>
      <c r="F3" s="30"/>
      <c r="G3" s="30"/>
      <c r="H3" s="29"/>
      <c r="I3" s="29"/>
      <c r="J3" s="31"/>
    </row>
    <row r="5" spans="1:17" x14ac:dyDescent="0.25">
      <c r="A5" s="5" t="s">
        <v>209</v>
      </c>
      <c r="I5" s="5" t="s">
        <v>206</v>
      </c>
    </row>
    <row r="6" spans="1:17" x14ac:dyDescent="0.25">
      <c r="I6" s="10"/>
      <c r="Q6" t="s">
        <v>256</v>
      </c>
    </row>
    <row r="7" spans="1:17" ht="31.5" x14ac:dyDescent="0.25">
      <c r="A7" s="7" t="s">
        <v>19</v>
      </c>
      <c r="B7" s="9" t="s">
        <v>203</v>
      </c>
      <c r="C7" s="9" t="s">
        <v>253</v>
      </c>
      <c r="D7" s="9" t="s">
        <v>254</v>
      </c>
      <c r="F7" s="9" t="s">
        <v>255</v>
      </c>
      <c r="G7" s="9" t="s">
        <v>257</v>
      </c>
      <c r="I7" s="7" t="s">
        <v>204</v>
      </c>
      <c r="J7" s="7" t="s">
        <v>205</v>
      </c>
      <c r="K7" s="9" t="s">
        <v>22</v>
      </c>
      <c r="L7" s="9" t="s">
        <v>258</v>
      </c>
      <c r="M7" s="9" t="s">
        <v>258</v>
      </c>
      <c r="Q7">
        <f t="shared" ref="Q7:Q38" si="0">LOOKUP(B8,$I$8:$K$11)</f>
        <v>168</v>
      </c>
    </row>
    <row r="8" spans="1:17" x14ac:dyDescent="0.25">
      <c r="A8" s="11">
        <v>42263</v>
      </c>
      <c r="B8" s="6">
        <v>540</v>
      </c>
      <c r="C8" s="45">
        <f>VLOOKUP(B8,$I$8:$K$11,3)</f>
        <v>168</v>
      </c>
      <c r="D8" s="45">
        <f>C8*B8</f>
        <v>90720</v>
      </c>
      <c r="F8" s="45">
        <f>SUM(D8:D179)</f>
        <v>11852436</v>
      </c>
      <c r="G8" s="45">
        <f>SUMPRODUCT(LOOKUP(B8:B179,I8:K11),B8:B179)</f>
        <v>11852436</v>
      </c>
      <c r="I8" s="8">
        <v>0</v>
      </c>
      <c r="J8" s="8">
        <v>143</v>
      </c>
      <c r="K8" s="13">
        <v>198</v>
      </c>
      <c r="L8" s="46">
        <f>COUNTIFS($C$8:$C$179,K8)</f>
        <v>22</v>
      </c>
      <c r="M8" s="46">
        <f>COUNTIFS($B$8:$B$179,"&gt;="&amp;I8,$B$8:$B$179,"&lt;="&amp;J8)</f>
        <v>22</v>
      </c>
      <c r="Q8">
        <f t="shared" si="0"/>
        <v>168</v>
      </c>
    </row>
    <row r="9" spans="1:17" x14ac:dyDescent="0.25">
      <c r="A9" s="11">
        <v>42262</v>
      </c>
      <c r="B9" s="6">
        <v>360</v>
      </c>
      <c r="C9" s="45">
        <f t="shared" ref="C9:C72" si="1">VLOOKUP(B9,$I$8:$K$11,3)</f>
        <v>168</v>
      </c>
      <c r="D9" s="45">
        <f t="shared" ref="D9:D72" si="2">C9*B9</f>
        <v>60480</v>
      </c>
      <c r="I9" s="8">
        <v>144</v>
      </c>
      <c r="J9" s="8">
        <v>288</v>
      </c>
      <c r="K9" s="13">
        <v>187</v>
      </c>
      <c r="L9" s="46">
        <f t="shared" ref="L9:L11" si="3">COUNTIFS($C$8:$C$179,K9)</f>
        <v>34</v>
      </c>
      <c r="M9" s="46">
        <f t="shared" ref="M9:M10" si="4">COUNTIFS($B$8:$B$179,"&gt;="&amp;I9,$B$8:$B$179,"&lt;="&amp;J9)</f>
        <v>34</v>
      </c>
      <c r="Q9">
        <f t="shared" si="0"/>
        <v>198</v>
      </c>
    </row>
    <row r="10" spans="1:17" x14ac:dyDescent="0.25">
      <c r="A10" s="11">
        <v>42263</v>
      </c>
      <c r="B10" s="6">
        <v>12</v>
      </c>
      <c r="C10" s="45">
        <f t="shared" si="1"/>
        <v>198</v>
      </c>
      <c r="D10" s="45">
        <f t="shared" si="2"/>
        <v>2376</v>
      </c>
      <c r="I10" s="8">
        <v>289</v>
      </c>
      <c r="J10" s="8">
        <v>577</v>
      </c>
      <c r="K10" s="13">
        <v>168</v>
      </c>
      <c r="L10" s="46">
        <f t="shared" si="3"/>
        <v>65</v>
      </c>
      <c r="M10" s="46">
        <f t="shared" si="4"/>
        <v>65</v>
      </c>
      <c r="Q10">
        <f t="shared" si="0"/>
        <v>168</v>
      </c>
    </row>
    <row r="11" spans="1:17" x14ac:dyDescent="0.25">
      <c r="A11" s="11">
        <v>42262</v>
      </c>
      <c r="B11" s="6">
        <v>468</v>
      </c>
      <c r="C11" s="45">
        <f t="shared" si="1"/>
        <v>168</v>
      </c>
      <c r="D11" s="45">
        <f t="shared" si="2"/>
        <v>78624</v>
      </c>
      <c r="I11" s="8">
        <v>578</v>
      </c>
      <c r="J11" s="8" t="s">
        <v>20</v>
      </c>
      <c r="K11" s="13">
        <v>152</v>
      </c>
      <c r="L11" s="46">
        <f t="shared" si="3"/>
        <v>51</v>
      </c>
      <c r="M11" s="46">
        <f>COUNTIFS($B$8:$B$179,"&gt;="&amp;I11)</f>
        <v>51</v>
      </c>
      <c r="Q11">
        <f t="shared" si="0"/>
        <v>198</v>
      </c>
    </row>
    <row r="12" spans="1:17" x14ac:dyDescent="0.25">
      <c r="A12" s="11">
        <v>42264</v>
      </c>
      <c r="B12" s="6">
        <v>48</v>
      </c>
      <c r="C12" s="45">
        <f t="shared" si="1"/>
        <v>198</v>
      </c>
      <c r="D12" s="45">
        <f t="shared" si="2"/>
        <v>9504</v>
      </c>
      <c r="I12" s="10"/>
      <c r="J12" s="10"/>
      <c r="K12" s="10"/>
      <c r="Q12">
        <f t="shared" si="0"/>
        <v>198</v>
      </c>
    </row>
    <row r="13" spans="1:17" x14ac:dyDescent="0.25">
      <c r="A13" s="11">
        <v>42265</v>
      </c>
      <c r="B13" s="6">
        <v>84</v>
      </c>
      <c r="C13" s="45">
        <f t="shared" si="1"/>
        <v>198</v>
      </c>
      <c r="D13" s="45">
        <f t="shared" si="2"/>
        <v>16632</v>
      </c>
      <c r="I13" s="10"/>
      <c r="J13" s="10"/>
      <c r="K13" s="10"/>
      <c r="Q13">
        <f t="shared" si="0"/>
        <v>168</v>
      </c>
    </row>
    <row r="14" spans="1:17" x14ac:dyDescent="0.25">
      <c r="A14" s="11">
        <v>42264</v>
      </c>
      <c r="B14" s="6">
        <v>540</v>
      </c>
      <c r="C14" s="45">
        <f t="shared" si="1"/>
        <v>168</v>
      </c>
      <c r="D14" s="45">
        <f t="shared" si="2"/>
        <v>90720</v>
      </c>
      <c r="I14" s="12"/>
      <c r="J14" s="12"/>
      <c r="K14" s="12"/>
      <c r="Q14">
        <f t="shared" si="0"/>
        <v>168</v>
      </c>
    </row>
    <row r="15" spans="1:17" x14ac:dyDescent="0.25">
      <c r="A15" s="11">
        <v>42265</v>
      </c>
      <c r="B15" s="6">
        <v>492</v>
      </c>
      <c r="C15" s="45">
        <f t="shared" si="1"/>
        <v>168</v>
      </c>
      <c r="D15" s="45">
        <f t="shared" si="2"/>
        <v>82656</v>
      </c>
      <c r="Q15">
        <f t="shared" si="0"/>
        <v>187</v>
      </c>
    </row>
    <row r="16" spans="1:17" x14ac:dyDescent="0.25">
      <c r="A16" s="11">
        <v>42265</v>
      </c>
      <c r="B16" s="6">
        <v>204</v>
      </c>
      <c r="C16" s="45">
        <f t="shared" si="1"/>
        <v>187</v>
      </c>
      <c r="D16" s="45">
        <f t="shared" si="2"/>
        <v>38148</v>
      </c>
      <c r="Q16">
        <f t="shared" si="0"/>
        <v>168</v>
      </c>
    </row>
    <row r="17" spans="1:17" x14ac:dyDescent="0.25">
      <c r="A17" s="11">
        <v>42262</v>
      </c>
      <c r="B17" s="6">
        <v>408</v>
      </c>
      <c r="C17" s="45">
        <f t="shared" si="1"/>
        <v>168</v>
      </c>
      <c r="D17" s="45">
        <f t="shared" si="2"/>
        <v>68544</v>
      </c>
      <c r="Q17">
        <f t="shared" si="0"/>
        <v>152</v>
      </c>
    </row>
    <row r="18" spans="1:17" x14ac:dyDescent="0.25">
      <c r="A18" s="11">
        <v>42264</v>
      </c>
      <c r="B18" s="6">
        <v>780</v>
      </c>
      <c r="C18" s="45">
        <f t="shared" si="1"/>
        <v>152</v>
      </c>
      <c r="D18" s="45">
        <f t="shared" si="2"/>
        <v>118560</v>
      </c>
      <c r="Q18">
        <f t="shared" si="0"/>
        <v>168</v>
      </c>
    </row>
    <row r="19" spans="1:17" x14ac:dyDescent="0.25">
      <c r="A19" s="11">
        <v>42263</v>
      </c>
      <c r="B19" s="6">
        <v>444</v>
      </c>
      <c r="C19" s="45">
        <f t="shared" si="1"/>
        <v>168</v>
      </c>
      <c r="D19" s="45">
        <f t="shared" si="2"/>
        <v>74592</v>
      </c>
      <c r="Q19">
        <f t="shared" si="0"/>
        <v>168</v>
      </c>
    </row>
    <row r="20" spans="1:17" x14ac:dyDescent="0.25">
      <c r="A20" s="11">
        <v>42262</v>
      </c>
      <c r="B20" s="6">
        <v>432</v>
      </c>
      <c r="C20" s="45">
        <f t="shared" si="1"/>
        <v>168</v>
      </c>
      <c r="D20" s="45">
        <f t="shared" si="2"/>
        <v>72576</v>
      </c>
      <c r="Q20">
        <f t="shared" si="0"/>
        <v>168</v>
      </c>
    </row>
    <row r="21" spans="1:17" x14ac:dyDescent="0.25">
      <c r="A21" s="11">
        <v>42263</v>
      </c>
      <c r="B21" s="6">
        <v>456</v>
      </c>
      <c r="C21" s="45">
        <f t="shared" si="1"/>
        <v>168</v>
      </c>
      <c r="D21" s="45">
        <f t="shared" si="2"/>
        <v>76608</v>
      </c>
      <c r="Q21">
        <f t="shared" si="0"/>
        <v>152</v>
      </c>
    </row>
    <row r="22" spans="1:17" x14ac:dyDescent="0.25">
      <c r="A22" s="11">
        <v>42263</v>
      </c>
      <c r="B22" s="6">
        <v>768</v>
      </c>
      <c r="C22" s="45">
        <f t="shared" si="1"/>
        <v>152</v>
      </c>
      <c r="D22" s="45">
        <f t="shared" si="2"/>
        <v>116736</v>
      </c>
      <c r="Q22">
        <f t="shared" si="0"/>
        <v>168</v>
      </c>
    </row>
    <row r="23" spans="1:17" s="4" customFormat="1" x14ac:dyDescent="0.25">
      <c r="A23" s="11">
        <v>42264</v>
      </c>
      <c r="B23" s="6">
        <v>528</v>
      </c>
      <c r="C23" s="45">
        <f t="shared" si="1"/>
        <v>168</v>
      </c>
      <c r="D23" s="45">
        <f t="shared" si="2"/>
        <v>88704</v>
      </c>
      <c r="F23"/>
      <c r="G23"/>
      <c r="L23"/>
      <c r="N23"/>
      <c r="Q23">
        <f t="shared" si="0"/>
        <v>152</v>
      </c>
    </row>
    <row r="24" spans="1:17" s="4" customFormat="1" x14ac:dyDescent="0.25">
      <c r="A24" s="11">
        <v>42262</v>
      </c>
      <c r="B24" s="6">
        <v>624</v>
      </c>
      <c r="C24" s="45">
        <f t="shared" si="1"/>
        <v>152</v>
      </c>
      <c r="D24" s="45">
        <f t="shared" si="2"/>
        <v>94848</v>
      </c>
      <c r="F24"/>
      <c r="G24"/>
      <c r="L24"/>
      <c r="N24"/>
      <c r="Q24">
        <f t="shared" si="0"/>
        <v>168</v>
      </c>
    </row>
    <row r="25" spans="1:17" s="4" customFormat="1" x14ac:dyDescent="0.25">
      <c r="A25" s="11">
        <v>42264</v>
      </c>
      <c r="B25" s="6">
        <v>372</v>
      </c>
      <c r="C25" s="45">
        <f t="shared" si="1"/>
        <v>168</v>
      </c>
      <c r="D25" s="45">
        <f t="shared" si="2"/>
        <v>62496</v>
      </c>
      <c r="F25"/>
      <c r="G25"/>
      <c r="L25"/>
      <c r="N25"/>
      <c r="Q25">
        <f t="shared" si="0"/>
        <v>152</v>
      </c>
    </row>
    <row r="26" spans="1:17" s="4" customFormat="1" x14ac:dyDescent="0.25">
      <c r="A26" s="11">
        <v>42265</v>
      </c>
      <c r="B26" s="6">
        <v>588</v>
      </c>
      <c r="C26" s="45">
        <f t="shared" si="1"/>
        <v>152</v>
      </c>
      <c r="D26" s="45">
        <f t="shared" si="2"/>
        <v>89376</v>
      </c>
      <c r="F26"/>
      <c r="G26"/>
      <c r="L26"/>
      <c r="N26"/>
      <c r="Q26">
        <f t="shared" si="0"/>
        <v>168</v>
      </c>
    </row>
    <row r="27" spans="1:17" s="4" customFormat="1" x14ac:dyDescent="0.25">
      <c r="A27" s="11">
        <v>42262</v>
      </c>
      <c r="B27" s="6">
        <v>504</v>
      </c>
      <c r="C27" s="45">
        <f t="shared" si="1"/>
        <v>168</v>
      </c>
      <c r="D27" s="45">
        <f t="shared" si="2"/>
        <v>84672</v>
      </c>
      <c r="F27"/>
      <c r="G27"/>
      <c r="L27"/>
      <c r="N27"/>
      <c r="Q27">
        <f t="shared" si="0"/>
        <v>168</v>
      </c>
    </row>
    <row r="28" spans="1:17" s="4" customFormat="1" x14ac:dyDescent="0.25">
      <c r="A28" s="11">
        <v>42263</v>
      </c>
      <c r="B28" s="6">
        <v>504</v>
      </c>
      <c r="C28" s="45">
        <f t="shared" si="1"/>
        <v>168</v>
      </c>
      <c r="D28" s="45">
        <f t="shared" si="2"/>
        <v>84672</v>
      </c>
      <c r="F28"/>
      <c r="G28"/>
      <c r="L28"/>
      <c r="N28"/>
      <c r="Q28">
        <f t="shared" si="0"/>
        <v>152</v>
      </c>
    </row>
    <row r="29" spans="1:17" s="4" customFormat="1" x14ac:dyDescent="0.25">
      <c r="A29" s="11">
        <v>42265</v>
      </c>
      <c r="B29" s="6">
        <v>660</v>
      </c>
      <c r="C29" s="45">
        <f t="shared" si="1"/>
        <v>152</v>
      </c>
      <c r="D29" s="45">
        <f t="shared" si="2"/>
        <v>100320</v>
      </c>
      <c r="F29"/>
      <c r="G29"/>
      <c r="L29"/>
      <c r="N29"/>
      <c r="Q29">
        <f t="shared" si="0"/>
        <v>168</v>
      </c>
    </row>
    <row r="30" spans="1:17" s="4" customFormat="1" x14ac:dyDescent="0.25">
      <c r="A30" s="11">
        <v>42263</v>
      </c>
      <c r="B30" s="6">
        <v>468</v>
      </c>
      <c r="C30" s="45">
        <f t="shared" si="1"/>
        <v>168</v>
      </c>
      <c r="D30" s="45">
        <f t="shared" si="2"/>
        <v>78624</v>
      </c>
      <c r="F30"/>
      <c r="G30"/>
      <c r="L30"/>
      <c r="N30"/>
      <c r="Q30">
        <f t="shared" si="0"/>
        <v>168</v>
      </c>
    </row>
    <row r="31" spans="1:17" s="4" customFormat="1" x14ac:dyDescent="0.25">
      <c r="A31" s="11">
        <v>42265</v>
      </c>
      <c r="B31" s="6">
        <v>492</v>
      </c>
      <c r="C31" s="45">
        <f t="shared" si="1"/>
        <v>168</v>
      </c>
      <c r="D31" s="45">
        <f t="shared" si="2"/>
        <v>82656</v>
      </c>
      <c r="F31"/>
      <c r="G31"/>
      <c r="L31"/>
      <c r="N31"/>
      <c r="Q31">
        <f t="shared" si="0"/>
        <v>187</v>
      </c>
    </row>
    <row r="32" spans="1:17" s="4" customFormat="1" x14ac:dyDescent="0.25">
      <c r="A32" s="11">
        <v>42265</v>
      </c>
      <c r="B32" s="6">
        <v>204</v>
      </c>
      <c r="C32" s="45">
        <f t="shared" si="1"/>
        <v>187</v>
      </c>
      <c r="D32" s="45">
        <f t="shared" si="2"/>
        <v>38148</v>
      </c>
      <c r="F32"/>
      <c r="G32"/>
      <c r="L32"/>
      <c r="N32"/>
      <c r="Q32">
        <f t="shared" si="0"/>
        <v>187</v>
      </c>
    </row>
    <row r="33" spans="1:17" s="4" customFormat="1" x14ac:dyDescent="0.25">
      <c r="A33" s="11">
        <v>42262</v>
      </c>
      <c r="B33" s="6">
        <v>168</v>
      </c>
      <c r="C33" s="45">
        <f t="shared" si="1"/>
        <v>187</v>
      </c>
      <c r="D33" s="45">
        <f t="shared" si="2"/>
        <v>31416</v>
      </c>
      <c r="F33"/>
      <c r="G33"/>
      <c r="L33"/>
      <c r="N33"/>
      <c r="Q33">
        <f t="shared" si="0"/>
        <v>198</v>
      </c>
    </row>
    <row r="34" spans="1:17" s="4" customFormat="1" x14ac:dyDescent="0.25">
      <c r="A34" s="11">
        <v>42264</v>
      </c>
      <c r="B34" s="6">
        <v>84</v>
      </c>
      <c r="C34" s="45">
        <f t="shared" si="1"/>
        <v>198</v>
      </c>
      <c r="D34" s="45">
        <f t="shared" si="2"/>
        <v>16632</v>
      </c>
      <c r="F34"/>
      <c r="G34"/>
      <c r="L34"/>
      <c r="N34"/>
      <c r="Q34">
        <f t="shared" si="0"/>
        <v>152</v>
      </c>
    </row>
    <row r="35" spans="1:17" s="4" customFormat="1" x14ac:dyDescent="0.25">
      <c r="A35" s="11">
        <v>42264</v>
      </c>
      <c r="B35" s="6">
        <v>588</v>
      </c>
      <c r="C35" s="45">
        <f t="shared" si="1"/>
        <v>152</v>
      </c>
      <c r="D35" s="45">
        <f t="shared" si="2"/>
        <v>89376</v>
      </c>
      <c r="F35"/>
      <c r="G35"/>
      <c r="L35"/>
      <c r="N35"/>
      <c r="Q35">
        <f t="shared" si="0"/>
        <v>187</v>
      </c>
    </row>
    <row r="36" spans="1:17" s="4" customFormat="1" x14ac:dyDescent="0.25">
      <c r="A36" s="11">
        <v>42262</v>
      </c>
      <c r="B36" s="6">
        <v>240</v>
      </c>
      <c r="C36" s="45">
        <f t="shared" si="1"/>
        <v>187</v>
      </c>
      <c r="D36" s="45">
        <f t="shared" si="2"/>
        <v>44880</v>
      </c>
      <c r="F36"/>
      <c r="G36"/>
      <c r="L36"/>
      <c r="N36"/>
      <c r="Q36">
        <f t="shared" si="0"/>
        <v>152</v>
      </c>
    </row>
    <row r="37" spans="1:17" s="4" customFormat="1" x14ac:dyDescent="0.25">
      <c r="A37" s="11">
        <v>42265</v>
      </c>
      <c r="B37" s="6">
        <v>696</v>
      </c>
      <c r="C37" s="45">
        <f t="shared" si="1"/>
        <v>152</v>
      </c>
      <c r="D37" s="45">
        <f t="shared" si="2"/>
        <v>105792</v>
      </c>
      <c r="F37"/>
      <c r="G37"/>
      <c r="L37"/>
      <c r="N37"/>
      <c r="Q37">
        <f t="shared" si="0"/>
        <v>168</v>
      </c>
    </row>
    <row r="38" spans="1:17" s="4" customFormat="1" x14ac:dyDescent="0.25">
      <c r="A38" s="11">
        <v>42262</v>
      </c>
      <c r="B38" s="6">
        <v>360</v>
      </c>
      <c r="C38" s="45">
        <f t="shared" si="1"/>
        <v>168</v>
      </c>
      <c r="D38" s="45">
        <f t="shared" si="2"/>
        <v>60480</v>
      </c>
      <c r="F38"/>
      <c r="G38"/>
      <c r="L38"/>
      <c r="N38"/>
      <c r="Q38">
        <f t="shared" si="0"/>
        <v>187</v>
      </c>
    </row>
    <row r="39" spans="1:17" s="4" customFormat="1" x14ac:dyDescent="0.25">
      <c r="A39" s="11">
        <v>42262</v>
      </c>
      <c r="B39" s="6">
        <v>264</v>
      </c>
      <c r="C39" s="45">
        <f t="shared" si="1"/>
        <v>187</v>
      </c>
      <c r="D39" s="45">
        <f t="shared" si="2"/>
        <v>49368</v>
      </c>
      <c r="F39"/>
      <c r="G39"/>
      <c r="L39"/>
      <c r="N39"/>
      <c r="Q39">
        <f t="shared" ref="Q39:Q70" si="5">LOOKUP(B40,$I$8:$K$11)</f>
        <v>152</v>
      </c>
    </row>
    <row r="40" spans="1:17" s="4" customFormat="1" x14ac:dyDescent="0.25">
      <c r="A40" s="11">
        <v>42262</v>
      </c>
      <c r="B40" s="6">
        <v>612</v>
      </c>
      <c r="C40" s="45">
        <f t="shared" si="1"/>
        <v>152</v>
      </c>
      <c r="D40" s="45">
        <f t="shared" si="2"/>
        <v>93024</v>
      </c>
      <c r="F40"/>
      <c r="G40"/>
      <c r="L40"/>
      <c r="N40"/>
      <c r="Q40">
        <f t="shared" si="5"/>
        <v>152</v>
      </c>
    </row>
    <row r="41" spans="1:17" s="4" customFormat="1" x14ac:dyDescent="0.25">
      <c r="A41" s="11">
        <v>42263</v>
      </c>
      <c r="B41" s="6">
        <v>792</v>
      </c>
      <c r="C41" s="45">
        <f t="shared" si="1"/>
        <v>152</v>
      </c>
      <c r="D41" s="45">
        <f t="shared" si="2"/>
        <v>120384</v>
      </c>
      <c r="F41"/>
      <c r="G41"/>
      <c r="L41"/>
      <c r="N41"/>
      <c r="Q41">
        <f t="shared" si="5"/>
        <v>198</v>
      </c>
    </row>
    <row r="42" spans="1:17" s="4" customFormat="1" x14ac:dyDescent="0.25">
      <c r="A42" s="11">
        <v>42265</v>
      </c>
      <c r="B42" s="6">
        <v>12</v>
      </c>
      <c r="C42" s="45">
        <f t="shared" si="1"/>
        <v>198</v>
      </c>
      <c r="D42" s="45">
        <f t="shared" si="2"/>
        <v>2376</v>
      </c>
      <c r="F42"/>
      <c r="G42"/>
      <c r="L42"/>
      <c r="N42"/>
      <c r="Q42">
        <f t="shared" si="5"/>
        <v>168</v>
      </c>
    </row>
    <row r="43" spans="1:17" s="4" customFormat="1" x14ac:dyDescent="0.25">
      <c r="A43" s="11">
        <v>42265</v>
      </c>
      <c r="B43" s="6">
        <v>324</v>
      </c>
      <c r="C43" s="45">
        <f t="shared" si="1"/>
        <v>168</v>
      </c>
      <c r="D43" s="45">
        <f t="shared" si="2"/>
        <v>54432</v>
      </c>
      <c r="F43"/>
      <c r="G43"/>
      <c r="L43"/>
      <c r="N43"/>
      <c r="Q43">
        <f t="shared" si="5"/>
        <v>168</v>
      </c>
    </row>
    <row r="44" spans="1:17" s="4" customFormat="1" x14ac:dyDescent="0.25">
      <c r="A44" s="11">
        <v>42262</v>
      </c>
      <c r="B44" s="6">
        <v>324</v>
      </c>
      <c r="C44" s="45">
        <f t="shared" si="1"/>
        <v>168</v>
      </c>
      <c r="D44" s="45">
        <f t="shared" si="2"/>
        <v>54432</v>
      </c>
      <c r="F44"/>
      <c r="G44"/>
      <c r="L44"/>
      <c r="N44"/>
      <c r="Q44">
        <f t="shared" si="5"/>
        <v>152</v>
      </c>
    </row>
    <row r="45" spans="1:17" s="4" customFormat="1" x14ac:dyDescent="0.25">
      <c r="A45" s="11">
        <v>42262</v>
      </c>
      <c r="B45" s="6">
        <v>588</v>
      </c>
      <c r="C45" s="45">
        <f t="shared" si="1"/>
        <v>152</v>
      </c>
      <c r="D45" s="45">
        <f t="shared" si="2"/>
        <v>89376</v>
      </c>
      <c r="F45"/>
      <c r="G45"/>
      <c r="L45"/>
      <c r="N45"/>
      <c r="Q45">
        <f t="shared" si="5"/>
        <v>168</v>
      </c>
    </row>
    <row r="46" spans="1:17" s="4" customFormat="1" x14ac:dyDescent="0.25">
      <c r="A46" s="11">
        <v>42264</v>
      </c>
      <c r="B46" s="6">
        <v>492</v>
      </c>
      <c r="C46" s="45">
        <f t="shared" si="1"/>
        <v>168</v>
      </c>
      <c r="D46" s="45">
        <f t="shared" si="2"/>
        <v>82656</v>
      </c>
      <c r="F46"/>
      <c r="G46"/>
      <c r="L46"/>
      <c r="N46"/>
      <c r="Q46">
        <f t="shared" si="5"/>
        <v>152</v>
      </c>
    </row>
    <row r="47" spans="1:17" s="4" customFormat="1" x14ac:dyDescent="0.25">
      <c r="A47" s="11">
        <v>42262</v>
      </c>
      <c r="B47" s="6">
        <v>804</v>
      </c>
      <c r="C47" s="45">
        <f t="shared" si="1"/>
        <v>152</v>
      </c>
      <c r="D47" s="45">
        <f t="shared" si="2"/>
        <v>122208</v>
      </c>
      <c r="F47"/>
      <c r="G47"/>
      <c r="L47"/>
      <c r="N47"/>
      <c r="Q47">
        <f t="shared" si="5"/>
        <v>168</v>
      </c>
    </row>
    <row r="48" spans="1:17" s="4" customFormat="1" x14ac:dyDescent="0.25">
      <c r="A48" s="11">
        <v>42262</v>
      </c>
      <c r="B48" s="6">
        <v>540</v>
      </c>
      <c r="C48" s="45">
        <f t="shared" si="1"/>
        <v>168</v>
      </c>
      <c r="D48" s="45">
        <f t="shared" si="2"/>
        <v>90720</v>
      </c>
      <c r="F48"/>
      <c r="G48"/>
      <c r="L48"/>
      <c r="N48"/>
      <c r="Q48">
        <f t="shared" si="5"/>
        <v>168</v>
      </c>
    </row>
    <row r="49" spans="1:17" s="4" customFormat="1" x14ac:dyDescent="0.25">
      <c r="A49" s="11">
        <v>42264</v>
      </c>
      <c r="B49" s="6">
        <v>468</v>
      </c>
      <c r="C49" s="45">
        <f t="shared" si="1"/>
        <v>168</v>
      </c>
      <c r="D49" s="45">
        <f t="shared" si="2"/>
        <v>78624</v>
      </c>
      <c r="F49"/>
      <c r="G49"/>
      <c r="L49"/>
      <c r="N49"/>
      <c r="Q49">
        <f t="shared" si="5"/>
        <v>152</v>
      </c>
    </row>
    <row r="50" spans="1:17" s="4" customFormat="1" x14ac:dyDescent="0.25">
      <c r="A50" s="11">
        <v>42262</v>
      </c>
      <c r="B50" s="6">
        <v>624</v>
      </c>
      <c r="C50" s="45">
        <f t="shared" si="1"/>
        <v>152</v>
      </c>
      <c r="D50" s="45">
        <f t="shared" si="2"/>
        <v>94848</v>
      </c>
      <c r="F50"/>
      <c r="G50"/>
      <c r="L50"/>
      <c r="N50"/>
      <c r="Q50">
        <f t="shared" si="5"/>
        <v>168</v>
      </c>
    </row>
    <row r="51" spans="1:17" s="4" customFormat="1" x14ac:dyDescent="0.25">
      <c r="A51" s="11">
        <v>42263</v>
      </c>
      <c r="B51" s="6">
        <v>396</v>
      </c>
      <c r="C51" s="45">
        <f t="shared" si="1"/>
        <v>168</v>
      </c>
      <c r="D51" s="45">
        <f t="shared" si="2"/>
        <v>66528</v>
      </c>
      <c r="F51"/>
      <c r="G51"/>
      <c r="L51"/>
      <c r="N51"/>
      <c r="Q51">
        <f t="shared" si="5"/>
        <v>198</v>
      </c>
    </row>
    <row r="52" spans="1:17" s="4" customFormat="1" x14ac:dyDescent="0.25">
      <c r="A52" s="11">
        <v>42262</v>
      </c>
      <c r="B52" s="6">
        <v>36</v>
      </c>
      <c r="C52" s="45">
        <f t="shared" si="1"/>
        <v>198</v>
      </c>
      <c r="D52" s="45">
        <f t="shared" si="2"/>
        <v>7128</v>
      </c>
      <c r="F52"/>
      <c r="G52"/>
      <c r="L52"/>
      <c r="N52"/>
      <c r="Q52">
        <f t="shared" si="5"/>
        <v>168</v>
      </c>
    </row>
    <row r="53" spans="1:17" s="4" customFormat="1" x14ac:dyDescent="0.25">
      <c r="A53" s="11">
        <v>42265</v>
      </c>
      <c r="B53" s="6">
        <v>384</v>
      </c>
      <c r="C53" s="45">
        <f t="shared" si="1"/>
        <v>168</v>
      </c>
      <c r="D53" s="45">
        <f t="shared" si="2"/>
        <v>64512</v>
      </c>
      <c r="F53"/>
      <c r="G53"/>
      <c r="L53"/>
      <c r="N53"/>
      <c r="Q53">
        <f t="shared" si="5"/>
        <v>198</v>
      </c>
    </row>
    <row r="54" spans="1:17" s="4" customFormat="1" x14ac:dyDescent="0.25">
      <c r="A54" s="11">
        <v>42262</v>
      </c>
      <c r="B54" s="6">
        <v>132</v>
      </c>
      <c r="C54" s="45">
        <f t="shared" si="1"/>
        <v>198</v>
      </c>
      <c r="D54" s="45">
        <f t="shared" si="2"/>
        <v>26136</v>
      </c>
      <c r="F54"/>
      <c r="G54"/>
      <c r="L54"/>
      <c r="N54"/>
      <c r="Q54">
        <f t="shared" si="5"/>
        <v>168</v>
      </c>
    </row>
    <row r="55" spans="1:17" s="4" customFormat="1" x14ac:dyDescent="0.25">
      <c r="A55" s="11">
        <v>42265</v>
      </c>
      <c r="B55" s="6">
        <v>312</v>
      </c>
      <c r="C55" s="45">
        <f t="shared" si="1"/>
        <v>168</v>
      </c>
      <c r="D55" s="45">
        <f t="shared" si="2"/>
        <v>52416</v>
      </c>
      <c r="F55"/>
      <c r="G55"/>
      <c r="L55"/>
      <c r="N55"/>
      <c r="Q55">
        <f t="shared" si="5"/>
        <v>168</v>
      </c>
    </row>
    <row r="56" spans="1:17" s="4" customFormat="1" x14ac:dyDescent="0.25">
      <c r="A56" s="11">
        <v>42263</v>
      </c>
      <c r="B56" s="6">
        <v>492</v>
      </c>
      <c r="C56" s="45">
        <f t="shared" si="1"/>
        <v>168</v>
      </c>
      <c r="D56" s="45">
        <f t="shared" si="2"/>
        <v>82656</v>
      </c>
      <c r="F56"/>
      <c r="G56"/>
      <c r="L56"/>
      <c r="N56"/>
      <c r="Q56">
        <f t="shared" si="5"/>
        <v>168</v>
      </c>
    </row>
    <row r="57" spans="1:17" s="4" customFormat="1" x14ac:dyDescent="0.25">
      <c r="A57" s="11">
        <v>42264</v>
      </c>
      <c r="B57" s="6">
        <v>516</v>
      </c>
      <c r="C57" s="45">
        <f t="shared" si="1"/>
        <v>168</v>
      </c>
      <c r="D57" s="45">
        <f t="shared" si="2"/>
        <v>86688</v>
      </c>
      <c r="F57"/>
      <c r="G57"/>
      <c r="L57"/>
      <c r="N57"/>
      <c r="Q57">
        <f t="shared" si="5"/>
        <v>152</v>
      </c>
    </row>
    <row r="58" spans="1:17" s="4" customFormat="1" x14ac:dyDescent="0.25">
      <c r="A58" s="11">
        <v>42263</v>
      </c>
      <c r="B58" s="6">
        <v>744</v>
      </c>
      <c r="C58" s="45">
        <f t="shared" si="1"/>
        <v>152</v>
      </c>
      <c r="D58" s="45">
        <f t="shared" si="2"/>
        <v>113088</v>
      </c>
      <c r="F58"/>
      <c r="G58"/>
      <c r="L58"/>
      <c r="N58"/>
      <c r="Q58">
        <f t="shared" si="5"/>
        <v>187</v>
      </c>
    </row>
    <row r="59" spans="1:17" s="4" customFormat="1" x14ac:dyDescent="0.25">
      <c r="A59" s="11">
        <v>42262</v>
      </c>
      <c r="B59" s="6">
        <v>240</v>
      </c>
      <c r="C59" s="45">
        <f t="shared" si="1"/>
        <v>187</v>
      </c>
      <c r="D59" s="45">
        <f t="shared" si="2"/>
        <v>44880</v>
      </c>
      <c r="F59"/>
      <c r="G59"/>
      <c r="L59"/>
      <c r="N59"/>
      <c r="Q59">
        <f t="shared" si="5"/>
        <v>187</v>
      </c>
    </row>
    <row r="60" spans="1:17" s="4" customFormat="1" x14ac:dyDescent="0.25">
      <c r="A60" s="11">
        <v>42264</v>
      </c>
      <c r="B60" s="6">
        <v>252</v>
      </c>
      <c r="C60" s="45">
        <f t="shared" si="1"/>
        <v>187</v>
      </c>
      <c r="D60" s="45">
        <f t="shared" si="2"/>
        <v>47124</v>
      </c>
      <c r="F60"/>
      <c r="G60"/>
      <c r="L60"/>
      <c r="N60"/>
      <c r="Q60">
        <f t="shared" si="5"/>
        <v>152</v>
      </c>
    </row>
    <row r="61" spans="1:17" s="4" customFormat="1" x14ac:dyDescent="0.25">
      <c r="A61" s="11">
        <v>42262</v>
      </c>
      <c r="B61" s="6">
        <v>768</v>
      </c>
      <c r="C61" s="45">
        <f t="shared" si="1"/>
        <v>152</v>
      </c>
      <c r="D61" s="45">
        <f t="shared" si="2"/>
        <v>116736</v>
      </c>
      <c r="F61"/>
      <c r="G61"/>
      <c r="L61"/>
      <c r="N61"/>
      <c r="Q61">
        <f t="shared" si="5"/>
        <v>168</v>
      </c>
    </row>
    <row r="62" spans="1:17" s="4" customFormat="1" x14ac:dyDescent="0.25">
      <c r="A62" s="11">
        <v>42262</v>
      </c>
      <c r="B62" s="6">
        <v>468</v>
      </c>
      <c r="C62" s="45">
        <f t="shared" si="1"/>
        <v>168</v>
      </c>
      <c r="D62" s="45">
        <f t="shared" si="2"/>
        <v>78624</v>
      </c>
      <c r="F62"/>
      <c r="G62"/>
      <c r="L62"/>
      <c r="N62"/>
      <c r="Q62">
        <f t="shared" si="5"/>
        <v>152</v>
      </c>
    </row>
    <row r="63" spans="1:17" s="4" customFormat="1" x14ac:dyDescent="0.25">
      <c r="A63" s="11">
        <v>42262</v>
      </c>
      <c r="B63" s="6">
        <v>720</v>
      </c>
      <c r="C63" s="45">
        <f t="shared" si="1"/>
        <v>152</v>
      </c>
      <c r="D63" s="45">
        <f t="shared" si="2"/>
        <v>109440</v>
      </c>
      <c r="F63"/>
      <c r="G63"/>
      <c r="L63"/>
      <c r="N63"/>
      <c r="Q63">
        <f t="shared" si="5"/>
        <v>152</v>
      </c>
    </row>
    <row r="64" spans="1:17" s="4" customFormat="1" x14ac:dyDescent="0.25">
      <c r="A64" s="11">
        <v>42264</v>
      </c>
      <c r="B64" s="6">
        <v>804</v>
      </c>
      <c r="C64" s="45">
        <f t="shared" si="1"/>
        <v>152</v>
      </c>
      <c r="D64" s="45">
        <f t="shared" si="2"/>
        <v>122208</v>
      </c>
      <c r="F64"/>
      <c r="G64"/>
      <c r="L64"/>
      <c r="N64"/>
      <c r="Q64">
        <f t="shared" si="5"/>
        <v>187</v>
      </c>
    </row>
    <row r="65" spans="1:17" s="4" customFormat="1" x14ac:dyDescent="0.25">
      <c r="A65" s="11">
        <v>42264</v>
      </c>
      <c r="B65" s="6">
        <v>192</v>
      </c>
      <c r="C65" s="45">
        <f t="shared" si="1"/>
        <v>187</v>
      </c>
      <c r="D65" s="45">
        <f t="shared" si="2"/>
        <v>35904</v>
      </c>
      <c r="F65"/>
      <c r="G65"/>
      <c r="L65"/>
      <c r="N65"/>
      <c r="Q65">
        <f t="shared" si="5"/>
        <v>152</v>
      </c>
    </row>
    <row r="66" spans="1:17" s="4" customFormat="1" x14ac:dyDescent="0.25">
      <c r="A66" s="11">
        <v>42262</v>
      </c>
      <c r="B66" s="6">
        <v>732</v>
      </c>
      <c r="C66" s="45">
        <f t="shared" si="1"/>
        <v>152</v>
      </c>
      <c r="D66" s="45">
        <f t="shared" si="2"/>
        <v>111264</v>
      </c>
      <c r="F66"/>
      <c r="G66"/>
      <c r="L66"/>
      <c r="N66"/>
      <c r="Q66">
        <f t="shared" si="5"/>
        <v>187</v>
      </c>
    </row>
    <row r="67" spans="1:17" s="4" customFormat="1" x14ac:dyDescent="0.25">
      <c r="A67" s="11">
        <v>42264</v>
      </c>
      <c r="B67" s="6">
        <v>216</v>
      </c>
      <c r="C67" s="45">
        <f t="shared" si="1"/>
        <v>187</v>
      </c>
      <c r="D67" s="45">
        <f t="shared" si="2"/>
        <v>40392</v>
      </c>
      <c r="F67"/>
      <c r="G67"/>
      <c r="L67"/>
      <c r="N67"/>
      <c r="Q67">
        <f t="shared" si="5"/>
        <v>152</v>
      </c>
    </row>
    <row r="68" spans="1:17" s="4" customFormat="1" x14ac:dyDescent="0.25">
      <c r="A68" s="11">
        <v>42262</v>
      </c>
      <c r="B68" s="6">
        <v>648</v>
      </c>
      <c r="C68" s="45">
        <f t="shared" si="1"/>
        <v>152</v>
      </c>
      <c r="D68" s="45">
        <f t="shared" si="2"/>
        <v>98496</v>
      </c>
      <c r="F68"/>
      <c r="G68"/>
      <c r="L68"/>
      <c r="N68"/>
      <c r="Q68">
        <f t="shared" si="5"/>
        <v>168</v>
      </c>
    </row>
    <row r="69" spans="1:17" s="4" customFormat="1" x14ac:dyDescent="0.25">
      <c r="A69" s="11">
        <v>42263</v>
      </c>
      <c r="B69" s="6">
        <v>432</v>
      </c>
      <c r="C69" s="45">
        <f t="shared" si="1"/>
        <v>168</v>
      </c>
      <c r="D69" s="45">
        <f t="shared" si="2"/>
        <v>72576</v>
      </c>
      <c r="F69"/>
      <c r="G69"/>
      <c r="L69"/>
      <c r="N69"/>
      <c r="Q69">
        <f t="shared" si="5"/>
        <v>168</v>
      </c>
    </row>
    <row r="70" spans="1:17" s="4" customFormat="1" x14ac:dyDescent="0.25">
      <c r="A70" s="11">
        <v>42262</v>
      </c>
      <c r="B70" s="6">
        <v>384</v>
      </c>
      <c r="C70" s="45">
        <f t="shared" si="1"/>
        <v>168</v>
      </c>
      <c r="D70" s="45">
        <f t="shared" si="2"/>
        <v>64512</v>
      </c>
      <c r="F70"/>
      <c r="G70"/>
      <c r="L70"/>
      <c r="N70"/>
      <c r="Q70">
        <f t="shared" si="5"/>
        <v>187</v>
      </c>
    </row>
    <row r="71" spans="1:17" s="4" customFormat="1" x14ac:dyDescent="0.25">
      <c r="A71" s="11">
        <v>42262</v>
      </c>
      <c r="B71" s="6">
        <v>144</v>
      </c>
      <c r="C71" s="45">
        <f t="shared" si="1"/>
        <v>187</v>
      </c>
      <c r="D71" s="45">
        <f t="shared" si="2"/>
        <v>26928</v>
      </c>
      <c r="F71"/>
      <c r="G71"/>
      <c r="L71"/>
      <c r="N71"/>
      <c r="Q71">
        <f t="shared" ref="Q71:Q102" si="6">LOOKUP(B72,$I$8:$K$11)</f>
        <v>152</v>
      </c>
    </row>
    <row r="72" spans="1:17" s="4" customFormat="1" x14ac:dyDescent="0.25">
      <c r="A72" s="11">
        <v>42265</v>
      </c>
      <c r="B72" s="6">
        <v>684</v>
      </c>
      <c r="C72" s="45">
        <f t="shared" si="1"/>
        <v>152</v>
      </c>
      <c r="D72" s="45">
        <f t="shared" si="2"/>
        <v>103968</v>
      </c>
      <c r="F72"/>
      <c r="G72"/>
      <c r="L72"/>
      <c r="N72"/>
      <c r="Q72">
        <f t="shared" si="6"/>
        <v>187</v>
      </c>
    </row>
    <row r="73" spans="1:17" s="4" customFormat="1" x14ac:dyDescent="0.25">
      <c r="A73" s="11">
        <v>42262</v>
      </c>
      <c r="B73" s="6">
        <v>216</v>
      </c>
      <c r="C73" s="45">
        <f t="shared" ref="C73:C136" si="7">VLOOKUP(B73,$I$8:$K$11,3)</f>
        <v>187</v>
      </c>
      <c r="D73" s="45">
        <f t="shared" ref="D73:D136" si="8">C73*B73</f>
        <v>40392</v>
      </c>
      <c r="F73"/>
      <c r="G73"/>
      <c r="L73"/>
      <c r="N73"/>
      <c r="Q73">
        <f t="shared" si="6"/>
        <v>168</v>
      </c>
    </row>
    <row r="74" spans="1:17" s="4" customFormat="1" x14ac:dyDescent="0.25">
      <c r="A74" s="11">
        <v>42262</v>
      </c>
      <c r="B74" s="6">
        <v>480</v>
      </c>
      <c r="C74" s="45">
        <f t="shared" si="7"/>
        <v>168</v>
      </c>
      <c r="D74" s="45">
        <f t="shared" si="8"/>
        <v>80640</v>
      </c>
      <c r="F74"/>
      <c r="G74"/>
      <c r="L74"/>
      <c r="N74"/>
      <c r="Q74">
        <f t="shared" si="6"/>
        <v>168</v>
      </c>
    </row>
    <row r="75" spans="1:17" s="4" customFormat="1" x14ac:dyDescent="0.25">
      <c r="A75" s="11">
        <v>42262</v>
      </c>
      <c r="B75" s="6">
        <v>384</v>
      </c>
      <c r="C75" s="45">
        <f t="shared" si="7"/>
        <v>168</v>
      </c>
      <c r="D75" s="45">
        <f t="shared" si="8"/>
        <v>64512</v>
      </c>
      <c r="F75"/>
      <c r="G75"/>
      <c r="L75"/>
      <c r="N75"/>
      <c r="Q75">
        <f t="shared" si="6"/>
        <v>198</v>
      </c>
    </row>
    <row r="76" spans="1:17" s="4" customFormat="1" x14ac:dyDescent="0.25">
      <c r="A76" s="11">
        <v>42262</v>
      </c>
      <c r="B76" s="6">
        <v>84</v>
      </c>
      <c r="C76" s="45">
        <f t="shared" si="7"/>
        <v>198</v>
      </c>
      <c r="D76" s="45">
        <f t="shared" si="8"/>
        <v>16632</v>
      </c>
      <c r="F76"/>
      <c r="G76"/>
      <c r="L76"/>
      <c r="N76"/>
      <c r="Q76">
        <f t="shared" si="6"/>
        <v>152</v>
      </c>
    </row>
    <row r="77" spans="1:17" s="4" customFormat="1" x14ac:dyDescent="0.25">
      <c r="A77" s="11">
        <v>42262</v>
      </c>
      <c r="B77" s="6">
        <v>756</v>
      </c>
      <c r="C77" s="45">
        <f t="shared" si="7"/>
        <v>152</v>
      </c>
      <c r="D77" s="45">
        <f t="shared" si="8"/>
        <v>114912</v>
      </c>
      <c r="F77"/>
      <c r="G77"/>
      <c r="L77"/>
      <c r="N77"/>
      <c r="Q77">
        <f t="shared" si="6"/>
        <v>152</v>
      </c>
    </row>
    <row r="78" spans="1:17" s="4" customFormat="1" x14ac:dyDescent="0.25">
      <c r="A78" s="11">
        <v>42265</v>
      </c>
      <c r="B78" s="6">
        <v>744</v>
      </c>
      <c r="C78" s="45">
        <f t="shared" si="7"/>
        <v>152</v>
      </c>
      <c r="D78" s="45">
        <f t="shared" si="8"/>
        <v>113088</v>
      </c>
      <c r="F78"/>
      <c r="G78"/>
      <c r="L78"/>
      <c r="N78"/>
      <c r="Q78">
        <f t="shared" si="6"/>
        <v>168</v>
      </c>
    </row>
    <row r="79" spans="1:17" s="4" customFormat="1" x14ac:dyDescent="0.25">
      <c r="A79" s="11">
        <v>42265</v>
      </c>
      <c r="B79" s="6">
        <v>300</v>
      </c>
      <c r="C79" s="45">
        <f t="shared" si="7"/>
        <v>168</v>
      </c>
      <c r="D79" s="45">
        <f t="shared" si="8"/>
        <v>50400</v>
      </c>
      <c r="F79"/>
      <c r="G79"/>
      <c r="L79"/>
      <c r="N79"/>
      <c r="Q79">
        <f t="shared" si="6"/>
        <v>168</v>
      </c>
    </row>
    <row r="80" spans="1:17" s="4" customFormat="1" x14ac:dyDescent="0.25">
      <c r="A80" s="11">
        <v>42262</v>
      </c>
      <c r="B80" s="6">
        <v>576</v>
      </c>
      <c r="C80" s="45">
        <f t="shared" si="7"/>
        <v>168</v>
      </c>
      <c r="D80" s="45">
        <f t="shared" si="8"/>
        <v>96768</v>
      </c>
      <c r="F80"/>
      <c r="G80"/>
      <c r="L80"/>
      <c r="N80"/>
      <c r="Q80">
        <f t="shared" si="6"/>
        <v>168</v>
      </c>
    </row>
    <row r="81" spans="1:17" s="4" customFormat="1" x14ac:dyDescent="0.25">
      <c r="A81" s="11">
        <v>42265</v>
      </c>
      <c r="B81" s="6">
        <v>408</v>
      </c>
      <c r="C81" s="45">
        <f t="shared" si="7"/>
        <v>168</v>
      </c>
      <c r="D81" s="45">
        <f t="shared" si="8"/>
        <v>68544</v>
      </c>
      <c r="F81"/>
      <c r="G81"/>
      <c r="L81"/>
      <c r="N81"/>
      <c r="Q81">
        <f t="shared" si="6"/>
        <v>168</v>
      </c>
    </row>
    <row r="82" spans="1:17" s="4" customFormat="1" x14ac:dyDescent="0.25">
      <c r="A82" s="11">
        <v>42264</v>
      </c>
      <c r="B82" s="6">
        <v>420</v>
      </c>
      <c r="C82" s="45">
        <f t="shared" si="7"/>
        <v>168</v>
      </c>
      <c r="D82" s="45">
        <f t="shared" si="8"/>
        <v>70560</v>
      </c>
      <c r="F82"/>
      <c r="G82"/>
      <c r="L82"/>
      <c r="N82"/>
      <c r="Q82">
        <f t="shared" si="6"/>
        <v>187</v>
      </c>
    </row>
    <row r="83" spans="1:17" s="4" customFormat="1" x14ac:dyDescent="0.25">
      <c r="A83" s="11">
        <v>42263</v>
      </c>
      <c r="B83" s="6">
        <v>240</v>
      </c>
      <c r="C83" s="45">
        <f t="shared" si="7"/>
        <v>187</v>
      </c>
      <c r="D83" s="45">
        <f t="shared" si="8"/>
        <v>44880</v>
      </c>
      <c r="F83"/>
      <c r="G83"/>
      <c r="L83"/>
      <c r="N83"/>
      <c r="Q83">
        <f t="shared" si="6"/>
        <v>198</v>
      </c>
    </row>
    <row r="84" spans="1:17" s="4" customFormat="1" x14ac:dyDescent="0.25">
      <c r="A84" s="11">
        <v>42264</v>
      </c>
      <c r="B84" s="6">
        <v>96</v>
      </c>
      <c r="C84" s="45">
        <f t="shared" si="7"/>
        <v>198</v>
      </c>
      <c r="D84" s="45">
        <f t="shared" si="8"/>
        <v>19008</v>
      </c>
      <c r="F84"/>
      <c r="G84"/>
      <c r="L84"/>
      <c r="N84"/>
      <c r="Q84">
        <f t="shared" si="6"/>
        <v>168</v>
      </c>
    </row>
    <row r="85" spans="1:17" s="4" customFormat="1" x14ac:dyDescent="0.25">
      <c r="A85" s="11">
        <v>42263</v>
      </c>
      <c r="B85" s="6">
        <v>348</v>
      </c>
      <c r="C85" s="45">
        <f t="shared" si="7"/>
        <v>168</v>
      </c>
      <c r="D85" s="45">
        <f t="shared" si="8"/>
        <v>58464</v>
      </c>
      <c r="F85"/>
      <c r="G85"/>
      <c r="L85"/>
      <c r="N85"/>
      <c r="Q85">
        <f t="shared" si="6"/>
        <v>168</v>
      </c>
    </row>
    <row r="86" spans="1:17" s="4" customFormat="1" x14ac:dyDescent="0.25">
      <c r="A86" s="11">
        <v>42265</v>
      </c>
      <c r="B86" s="6">
        <v>420</v>
      </c>
      <c r="C86" s="45">
        <f t="shared" si="7"/>
        <v>168</v>
      </c>
      <c r="D86" s="45">
        <f t="shared" si="8"/>
        <v>70560</v>
      </c>
      <c r="F86"/>
      <c r="G86"/>
      <c r="L86"/>
      <c r="N86"/>
      <c r="Q86">
        <f t="shared" si="6"/>
        <v>198</v>
      </c>
    </row>
    <row r="87" spans="1:17" s="4" customFormat="1" x14ac:dyDescent="0.25">
      <c r="A87" s="11">
        <v>42265</v>
      </c>
      <c r="B87" s="6">
        <v>132</v>
      </c>
      <c r="C87" s="45">
        <f t="shared" si="7"/>
        <v>198</v>
      </c>
      <c r="D87" s="45">
        <f t="shared" si="8"/>
        <v>26136</v>
      </c>
      <c r="F87"/>
      <c r="G87"/>
      <c r="L87"/>
      <c r="N87"/>
      <c r="Q87">
        <f t="shared" si="6"/>
        <v>168</v>
      </c>
    </row>
    <row r="88" spans="1:17" s="4" customFormat="1" x14ac:dyDescent="0.25">
      <c r="A88" s="11">
        <v>42262</v>
      </c>
      <c r="B88" s="6">
        <v>516</v>
      </c>
      <c r="C88" s="45">
        <f t="shared" si="7"/>
        <v>168</v>
      </c>
      <c r="D88" s="45">
        <f t="shared" si="8"/>
        <v>86688</v>
      </c>
      <c r="F88"/>
      <c r="G88"/>
      <c r="L88"/>
      <c r="N88"/>
      <c r="Q88">
        <f t="shared" si="6"/>
        <v>168</v>
      </c>
    </row>
    <row r="89" spans="1:17" s="4" customFormat="1" x14ac:dyDescent="0.25">
      <c r="A89" s="11">
        <v>42264</v>
      </c>
      <c r="B89" s="6">
        <v>576</v>
      </c>
      <c r="C89" s="45">
        <f t="shared" si="7"/>
        <v>168</v>
      </c>
      <c r="D89" s="45">
        <f t="shared" si="8"/>
        <v>96768</v>
      </c>
      <c r="F89"/>
      <c r="G89"/>
      <c r="L89"/>
      <c r="N89"/>
      <c r="Q89">
        <f t="shared" si="6"/>
        <v>187</v>
      </c>
    </row>
    <row r="90" spans="1:17" s="4" customFormat="1" x14ac:dyDescent="0.25">
      <c r="A90" s="11">
        <v>42265</v>
      </c>
      <c r="B90" s="6">
        <v>288</v>
      </c>
      <c r="C90" s="45">
        <f t="shared" si="7"/>
        <v>187</v>
      </c>
      <c r="D90" s="45">
        <f t="shared" si="8"/>
        <v>53856</v>
      </c>
      <c r="F90"/>
      <c r="G90"/>
      <c r="L90"/>
      <c r="N90"/>
      <c r="Q90">
        <f t="shared" si="6"/>
        <v>168</v>
      </c>
    </row>
    <row r="91" spans="1:17" s="4" customFormat="1" x14ac:dyDescent="0.25">
      <c r="A91" s="11">
        <v>42262</v>
      </c>
      <c r="B91" s="6">
        <v>492</v>
      </c>
      <c r="C91" s="45">
        <f t="shared" si="7"/>
        <v>168</v>
      </c>
      <c r="D91" s="45">
        <f t="shared" si="8"/>
        <v>82656</v>
      </c>
      <c r="F91"/>
      <c r="G91"/>
      <c r="L91"/>
      <c r="N91"/>
      <c r="Q91">
        <f t="shared" si="6"/>
        <v>152</v>
      </c>
    </row>
    <row r="92" spans="1:17" s="4" customFormat="1" x14ac:dyDescent="0.25">
      <c r="A92" s="11">
        <v>42262</v>
      </c>
      <c r="B92" s="6">
        <v>636</v>
      </c>
      <c r="C92" s="45">
        <f t="shared" si="7"/>
        <v>152</v>
      </c>
      <c r="D92" s="45">
        <f t="shared" si="8"/>
        <v>96672</v>
      </c>
      <c r="F92"/>
      <c r="G92"/>
      <c r="L92"/>
      <c r="N92"/>
      <c r="Q92">
        <f t="shared" si="6"/>
        <v>168</v>
      </c>
    </row>
    <row r="93" spans="1:17" s="4" customFormat="1" x14ac:dyDescent="0.25">
      <c r="A93" s="11">
        <v>42263</v>
      </c>
      <c r="B93" s="6">
        <v>348</v>
      </c>
      <c r="C93" s="45">
        <f t="shared" si="7"/>
        <v>168</v>
      </c>
      <c r="D93" s="45">
        <f t="shared" si="8"/>
        <v>58464</v>
      </c>
      <c r="F93"/>
      <c r="G93"/>
      <c r="L93"/>
      <c r="N93"/>
      <c r="Q93">
        <f t="shared" si="6"/>
        <v>187</v>
      </c>
    </row>
    <row r="94" spans="1:17" s="4" customFormat="1" x14ac:dyDescent="0.25">
      <c r="A94" s="11">
        <v>42262</v>
      </c>
      <c r="B94" s="6">
        <v>168</v>
      </c>
      <c r="C94" s="45">
        <f t="shared" si="7"/>
        <v>187</v>
      </c>
      <c r="D94" s="45">
        <f t="shared" si="8"/>
        <v>31416</v>
      </c>
      <c r="F94"/>
      <c r="G94"/>
      <c r="L94"/>
      <c r="N94"/>
      <c r="Q94">
        <f t="shared" si="6"/>
        <v>187</v>
      </c>
    </row>
    <row r="95" spans="1:17" s="4" customFormat="1" x14ac:dyDescent="0.25">
      <c r="A95" s="11">
        <v>42262</v>
      </c>
      <c r="B95" s="6">
        <v>264</v>
      </c>
      <c r="C95" s="45">
        <f t="shared" si="7"/>
        <v>187</v>
      </c>
      <c r="D95" s="45">
        <f t="shared" si="8"/>
        <v>49368</v>
      </c>
      <c r="F95"/>
      <c r="G95"/>
      <c r="L95"/>
      <c r="N95"/>
      <c r="Q95">
        <f t="shared" si="6"/>
        <v>152</v>
      </c>
    </row>
    <row r="96" spans="1:17" s="4" customFormat="1" x14ac:dyDescent="0.25">
      <c r="A96" s="11">
        <v>42265</v>
      </c>
      <c r="B96" s="6">
        <v>600</v>
      </c>
      <c r="C96" s="45">
        <f t="shared" si="7"/>
        <v>152</v>
      </c>
      <c r="D96" s="45">
        <f t="shared" si="8"/>
        <v>91200</v>
      </c>
      <c r="F96"/>
      <c r="G96"/>
      <c r="L96"/>
      <c r="N96"/>
      <c r="Q96">
        <f t="shared" si="6"/>
        <v>187</v>
      </c>
    </row>
    <row r="97" spans="1:17" s="4" customFormat="1" x14ac:dyDescent="0.25">
      <c r="A97" s="11">
        <v>42262</v>
      </c>
      <c r="B97" s="6">
        <v>216</v>
      </c>
      <c r="C97" s="45">
        <f t="shared" si="7"/>
        <v>187</v>
      </c>
      <c r="D97" s="45">
        <f t="shared" si="8"/>
        <v>40392</v>
      </c>
      <c r="F97"/>
      <c r="G97"/>
      <c r="L97"/>
      <c r="N97"/>
      <c r="Q97">
        <f t="shared" si="6"/>
        <v>152</v>
      </c>
    </row>
    <row r="98" spans="1:17" s="4" customFormat="1" x14ac:dyDescent="0.25">
      <c r="A98" s="11">
        <v>42265</v>
      </c>
      <c r="B98" s="6">
        <v>648</v>
      </c>
      <c r="C98" s="45">
        <f t="shared" si="7"/>
        <v>152</v>
      </c>
      <c r="D98" s="45">
        <f t="shared" si="8"/>
        <v>98496</v>
      </c>
      <c r="F98"/>
      <c r="G98"/>
      <c r="L98"/>
      <c r="N98"/>
      <c r="Q98">
        <f t="shared" si="6"/>
        <v>187</v>
      </c>
    </row>
    <row r="99" spans="1:17" s="4" customFormat="1" x14ac:dyDescent="0.25">
      <c r="A99" s="11">
        <v>42264</v>
      </c>
      <c r="B99" s="6">
        <v>288</v>
      </c>
      <c r="C99" s="45">
        <f t="shared" si="7"/>
        <v>187</v>
      </c>
      <c r="D99" s="45">
        <f t="shared" si="8"/>
        <v>53856</v>
      </c>
      <c r="F99"/>
      <c r="G99"/>
      <c r="L99"/>
      <c r="N99"/>
      <c r="Q99">
        <f t="shared" si="6"/>
        <v>152</v>
      </c>
    </row>
    <row r="100" spans="1:17" s="4" customFormat="1" x14ac:dyDescent="0.25">
      <c r="A100" s="11">
        <v>42263</v>
      </c>
      <c r="B100" s="6">
        <v>684</v>
      </c>
      <c r="C100" s="45">
        <f t="shared" si="7"/>
        <v>152</v>
      </c>
      <c r="D100" s="45">
        <f t="shared" si="8"/>
        <v>103968</v>
      </c>
      <c r="F100"/>
      <c r="G100"/>
      <c r="L100"/>
      <c r="N100"/>
      <c r="Q100">
        <f t="shared" si="6"/>
        <v>187</v>
      </c>
    </row>
    <row r="101" spans="1:17" s="4" customFormat="1" x14ac:dyDescent="0.25">
      <c r="A101" s="11">
        <v>42262</v>
      </c>
      <c r="B101" s="6">
        <v>168</v>
      </c>
      <c r="C101" s="45">
        <f t="shared" si="7"/>
        <v>187</v>
      </c>
      <c r="D101" s="45">
        <f t="shared" si="8"/>
        <v>31416</v>
      </c>
      <c r="F101"/>
      <c r="G101"/>
      <c r="L101"/>
      <c r="N101"/>
      <c r="Q101">
        <f t="shared" si="6"/>
        <v>152</v>
      </c>
    </row>
    <row r="102" spans="1:17" s="4" customFormat="1" x14ac:dyDescent="0.25">
      <c r="A102" s="11">
        <v>42263</v>
      </c>
      <c r="B102" s="6">
        <v>756</v>
      </c>
      <c r="C102" s="45">
        <f t="shared" si="7"/>
        <v>152</v>
      </c>
      <c r="D102" s="45">
        <f t="shared" si="8"/>
        <v>114912</v>
      </c>
      <c r="F102"/>
      <c r="G102"/>
      <c r="L102"/>
      <c r="N102"/>
      <c r="Q102">
        <f t="shared" si="6"/>
        <v>152</v>
      </c>
    </row>
    <row r="103" spans="1:17" s="4" customFormat="1" x14ac:dyDescent="0.25">
      <c r="A103" s="11">
        <v>42264</v>
      </c>
      <c r="B103" s="6">
        <v>648</v>
      </c>
      <c r="C103" s="45">
        <f t="shared" si="7"/>
        <v>152</v>
      </c>
      <c r="D103" s="45">
        <f t="shared" si="8"/>
        <v>98496</v>
      </c>
      <c r="F103"/>
      <c r="G103"/>
      <c r="L103"/>
      <c r="N103"/>
      <c r="Q103">
        <f t="shared" ref="Q103:Q134" si="9">LOOKUP(B104,$I$8:$K$11)</f>
        <v>152</v>
      </c>
    </row>
    <row r="104" spans="1:17" s="4" customFormat="1" x14ac:dyDescent="0.25">
      <c r="A104" s="11">
        <v>42262</v>
      </c>
      <c r="B104" s="6">
        <v>696</v>
      </c>
      <c r="C104" s="45">
        <f t="shared" si="7"/>
        <v>152</v>
      </c>
      <c r="D104" s="45">
        <f t="shared" si="8"/>
        <v>105792</v>
      </c>
      <c r="F104"/>
      <c r="G104"/>
      <c r="L104"/>
      <c r="N104"/>
      <c r="Q104">
        <f t="shared" si="9"/>
        <v>168</v>
      </c>
    </row>
    <row r="105" spans="1:17" s="4" customFormat="1" x14ac:dyDescent="0.25">
      <c r="A105" s="11">
        <v>42264</v>
      </c>
      <c r="B105" s="6">
        <v>456</v>
      </c>
      <c r="C105" s="45">
        <f t="shared" si="7"/>
        <v>168</v>
      </c>
      <c r="D105" s="45">
        <f t="shared" si="8"/>
        <v>76608</v>
      </c>
      <c r="F105"/>
      <c r="G105"/>
      <c r="L105"/>
      <c r="N105"/>
      <c r="Q105">
        <f t="shared" si="9"/>
        <v>152</v>
      </c>
    </row>
    <row r="106" spans="1:17" s="4" customFormat="1" x14ac:dyDescent="0.25">
      <c r="A106" s="11">
        <v>42263</v>
      </c>
      <c r="B106" s="6">
        <v>696</v>
      </c>
      <c r="C106" s="45">
        <f t="shared" si="7"/>
        <v>152</v>
      </c>
      <c r="D106" s="45">
        <f t="shared" si="8"/>
        <v>105792</v>
      </c>
      <c r="F106"/>
      <c r="G106"/>
      <c r="L106"/>
      <c r="N106"/>
      <c r="Q106">
        <f t="shared" si="9"/>
        <v>187</v>
      </c>
    </row>
    <row r="107" spans="1:17" s="4" customFormat="1" x14ac:dyDescent="0.25">
      <c r="A107" s="11">
        <v>42264</v>
      </c>
      <c r="B107" s="6">
        <v>252</v>
      </c>
      <c r="C107" s="45">
        <f t="shared" si="7"/>
        <v>187</v>
      </c>
      <c r="D107" s="45">
        <f t="shared" si="8"/>
        <v>47124</v>
      </c>
      <c r="F107"/>
      <c r="G107"/>
      <c r="L107"/>
      <c r="N107"/>
      <c r="Q107">
        <f t="shared" si="9"/>
        <v>152</v>
      </c>
    </row>
    <row r="108" spans="1:17" s="4" customFormat="1" x14ac:dyDescent="0.25">
      <c r="A108" s="11">
        <v>42263</v>
      </c>
      <c r="B108" s="6">
        <v>732</v>
      </c>
      <c r="C108" s="45">
        <f t="shared" si="7"/>
        <v>152</v>
      </c>
      <c r="D108" s="45">
        <f t="shared" si="8"/>
        <v>111264</v>
      </c>
      <c r="F108"/>
      <c r="G108"/>
      <c r="L108"/>
      <c r="N108"/>
      <c r="Q108">
        <f t="shared" si="9"/>
        <v>198</v>
      </c>
    </row>
    <row r="109" spans="1:17" s="4" customFormat="1" x14ac:dyDescent="0.25">
      <c r="A109" s="11">
        <v>42265</v>
      </c>
      <c r="B109" s="6">
        <v>132</v>
      </c>
      <c r="C109" s="45">
        <f t="shared" si="7"/>
        <v>198</v>
      </c>
      <c r="D109" s="45">
        <f t="shared" si="8"/>
        <v>26136</v>
      </c>
      <c r="F109"/>
      <c r="G109"/>
      <c r="L109"/>
      <c r="N109"/>
      <c r="Q109">
        <f t="shared" si="9"/>
        <v>152</v>
      </c>
    </row>
    <row r="110" spans="1:17" s="4" customFormat="1" x14ac:dyDescent="0.25">
      <c r="A110" s="11">
        <v>42264</v>
      </c>
      <c r="B110" s="6">
        <v>744</v>
      </c>
      <c r="C110" s="45">
        <f t="shared" si="7"/>
        <v>152</v>
      </c>
      <c r="D110" s="45">
        <f t="shared" si="8"/>
        <v>113088</v>
      </c>
      <c r="F110"/>
      <c r="G110"/>
      <c r="L110"/>
      <c r="N110"/>
      <c r="Q110">
        <f t="shared" si="9"/>
        <v>152</v>
      </c>
    </row>
    <row r="111" spans="1:17" s="4" customFormat="1" x14ac:dyDescent="0.25">
      <c r="A111" s="11">
        <v>42265</v>
      </c>
      <c r="B111" s="6">
        <v>732</v>
      </c>
      <c r="C111" s="45">
        <f t="shared" si="7"/>
        <v>152</v>
      </c>
      <c r="D111" s="45">
        <f t="shared" si="8"/>
        <v>111264</v>
      </c>
      <c r="F111"/>
      <c r="G111"/>
      <c r="L111"/>
      <c r="N111"/>
      <c r="Q111">
        <f t="shared" si="9"/>
        <v>168</v>
      </c>
    </row>
    <row r="112" spans="1:17" s="4" customFormat="1" x14ac:dyDescent="0.25">
      <c r="A112" s="11">
        <v>42264</v>
      </c>
      <c r="B112" s="6">
        <v>312</v>
      </c>
      <c r="C112" s="45">
        <f t="shared" si="7"/>
        <v>168</v>
      </c>
      <c r="D112" s="45">
        <f t="shared" si="8"/>
        <v>52416</v>
      </c>
      <c r="F112"/>
      <c r="G112"/>
      <c r="L112"/>
      <c r="N112"/>
      <c r="Q112">
        <f t="shared" si="9"/>
        <v>187</v>
      </c>
    </row>
    <row r="113" spans="1:17" s="4" customFormat="1" x14ac:dyDescent="0.25">
      <c r="A113" s="11">
        <v>42265</v>
      </c>
      <c r="B113" s="6">
        <v>288</v>
      </c>
      <c r="C113" s="45">
        <f t="shared" si="7"/>
        <v>187</v>
      </c>
      <c r="D113" s="45">
        <f t="shared" si="8"/>
        <v>53856</v>
      </c>
      <c r="F113"/>
      <c r="G113"/>
      <c r="L113"/>
      <c r="N113"/>
      <c r="Q113">
        <f t="shared" si="9"/>
        <v>198</v>
      </c>
    </row>
    <row r="114" spans="1:17" s="4" customFormat="1" x14ac:dyDescent="0.25">
      <c r="A114" s="11">
        <v>42264</v>
      </c>
      <c r="B114" s="6">
        <v>108</v>
      </c>
      <c r="C114" s="45">
        <f t="shared" si="7"/>
        <v>198</v>
      </c>
      <c r="D114" s="45">
        <f t="shared" si="8"/>
        <v>21384</v>
      </c>
      <c r="F114"/>
      <c r="G114"/>
      <c r="L114"/>
      <c r="N114"/>
      <c r="Q114">
        <f t="shared" si="9"/>
        <v>168</v>
      </c>
    </row>
    <row r="115" spans="1:17" s="4" customFormat="1" x14ac:dyDescent="0.25">
      <c r="A115" s="11">
        <v>42265</v>
      </c>
      <c r="B115" s="6">
        <v>540</v>
      </c>
      <c r="C115" s="45">
        <f t="shared" si="7"/>
        <v>168</v>
      </c>
      <c r="D115" s="45">
        <f t="shared" si="8"/>
        <v>90720</v>
      </c>
      <c r="F115"/>
      <c r="G115"/>
      <c r="L115"/>
      <c r="N115"/>
      <c r="Q115">
        <f t="shared" si="9"/>
        <v>152</v>
      </c>
    </row>
    <row r="116" spans="1:17" s="4" customFormat="1" x14ac:dyDescent="0.25">
      <c r="A116" s="11">
        <v>42262</v>
      </c>
      <c r="B116" s="6">
        <v>648</v>
      </c>
      <c r="C116" s="45">
        <f t="shared" si="7"/>
        <v>152</v>
      </c>
      <c r="D116" s="45">
        <f t="shared" si="8"/>
        <v>98496</v>
      </c>
      <c r="F116"/>
      <c r="G116"/>
      <c r="L116"/>
      <c r="N116"/>
      <c r="Q116">
        <f t="shared" si="9"/>
        <v>187</v>
      </c>
    </row>
    <row r="117" spans="1:17" s="4" customFormat="1" x14ac:dyDescent="0.25">
      <c r="A117" s="11">
        <v>42263</v>
      </c>
      <c r="B117" s="6">
        <v>156</v>
      </c>
      <c r="C117" s="45">
        <f t="shared" si="7"/>
        <v>187</v>
      </c>
      <c r="D117" s="45">
        <f t="shared" si="8"/>
        <v>29172</v>
      </c>
      <c r="F117"/>
      <c r="G117"/>
      <c r="L117"/>
      <c r="N117"/>
      <c r="Q117">
        <f t="shared" si="9"/>
        <v>198</v>
      </c>
    </row>
    <row r="118" spans="1:17" s="4" customFormat="1" x14ac:dyDescent="0.25">
      <c r="A118" s="11">
        <v>42265</v>
      </c>
      <c r="B118" s="6">
        <v>12</v>
      </c>
      <c r="C118" s="45">
        <f t="shared" si="7"/>
        <v>198</v>
      </c>
      <c r="D118" s="45">
        <f t="shared" si="8"/>
        <v>2376</v>
      </c>
      <c r="F118"/>
      <c r="G118"/>
      <c r="L118"/>
      <c r="N118"/>
      <c r="Q118">
        <f t="shared" si="9"/>
        <v>187</v>
      </c>
    </row>
    <row r="119" spans="1:17" s="4" customFormat="1" x14ac:dyDescent="0.25">
      <c r="A119" s="11">
        <v>42263</v>
      </c>
      <c r="B119" s="6">
        <v>216</v>
      </c>
      <c r="C119" s="45">
        <f t="shared" si="7"/>
        <v>187</v>
      </c>
      <c r="D119" s="45">
        <f t="shared" si="8"/>
        <v>40392</v>
      </c>
      <c r="F119"/>
      <c r="G119"/>
      <c r="L119"/>
      <c r="N119"/>
      <c r="Q119">
        <f t="shared" si="9"/>
        <v>152</v>
      </c>
    </row>
    <row r="120" spans="1:17" s="4" customFormat="1" x14ac:dyDescent="0.25">
      <c r="A120" s="11">
        <v>42262</v>
      </c>
      <c r="B120" s="6">
        <v>660</v>
      </c>
      <c r="C120" s="45">
        <f t="shared" si="7"/>
        <v>152</v>
      </c>
      <c r="D120" s="45">
        <f t="shared" si="8"/>
        <v>100320</v>
      </c>
      <c r="F120"/>
      <c r="G120"/>
      <c r="L120"/>
      <c r="N120"/>
      <c r="Q120">
        <f t="shared" si="9"/>
        <v>187</v>
      </c>
    </row>
    <row r="121" spans="1:17" s="4" customFormat="1" x14ac:dyDescent="0.25">
      <c r="A121" s="11">
        <v>42265</v>
      </c>
      <c r="B121" s="6">
        <v>168</v>
      </c>
      <c r="C121" s="45">
        <f t="shared" si="7"/>
        <v>187</v>
      </c>
      <c r="D121" s="45">
        <f t="shared" si="8"/>
        <v>31416</v>
      </c>
      <c r="F121"/>
      <c r="G121"/>
      <c r="L121"/>
      <c r="N121"/>
      <c r="Q121">
        <f t="shared" si="9"/>
        <v>152</v>
      </c>
    </row>
    <row r="122" spans="1:17" s="4" customFormat="1" x14ac:dyDescent="0.25">
      <c r="A122" s="11">
        <v>42264</v>
      </c>
      <c r="B122" s="6">
        <v>624</v>
      </c>
      <c r="C122" s="45">
        <f t="shared" si="7"/>
        <v>152</v>
      </c>
      <c r="D122" s="45">
        <f t="shared" si="8"/>
        <v>94848</v>
      </c>
      <c r="F122"/>
      <c r="G122"/>
      <c r="L122"/>
      <c r="N122"/>
      <c r="Q122">
        <f t="shared" si="9"/>
        <v>198</v>
      </c>
    </row>
    <row r="123" spans="1:17" s="4" customFormat="1" x14ac:dyDescent="0.25">
      <c r="A123" s="11">
        <v>42262</v>
      </c>
      <c r="B123" s="6">
        <v>72</v>
      </c>
      <c r="C123" s="45">
        <f t="shared" si="7"/>
        <v>198</v>
      </c>
      <c r="D123" s="45">
        <f t="shared" si="8"/>
        <v>14256</v>
      </c>
      <c r="F123"/>
      <c r="G123"/>
      <c r="L123"/>
      <c r="N123"/>
      <c r="Q123">
        <f t="shared" si="9"/>
        <v>168</v>
      </c>
    </row>
    <row r="124" spans="1:17" s="4" customFormat="1" x14ac:dyDescent="0.25">
      <c r="A124" s="11">
        <v>42263</v>
      </c>
      <c r="B124" s="6">
        <v>444</v>
      </c>
      <c r="C124" s="45">
        <f t="shared" si="7"/>
        <v>168</v>
      </c>
      <c r="D124" s="45">
        <f t="shared" si="8"/>
        <v>74592</v>
      </c>
      <c r="F124"/>
      <c r="G124"/>
      <c r="L124"/>
      <c r="N124"/>
      <c r="Q124">
        <f t="shared" si="9"/>
        <v>187</v>
      </c>
    </row>
    <row r="125" spans="1:17" s="4" customFormat="1" x14ac:dyDescent="0.25">
      <c r="A125" s="11">
        <v>42264</v>
      </c>
      <c r="B125" s="6">
        <v>204</v>
      </c>
      <c r="C125" s="45">
        <f t="shared" si="7"/>
        <v>187</v>
      </c>
      <c r="D125" s="45">
        <f t="shared" si="8"/>
        <v>38148</v>
      </c>
      <c r="F125"/>
      <c r="G125"/>
      <c r="L125"/>
      <c r="N125"/>
      <c r="Q125">
        <f t="shared" si="9"/>
        <v>168</v>
      </c>
    </row>
    <row r="126" spans="1:17" s="4" customFormat="1" x14ac:dyDescent="0.25">
      <c r="A126" s="11">
        <v>42264</v>
      </c>
      <c r="B126" s="6">
        <v>576</v>
      </c>
      <c r="C126" s="45">
        <f t="shared" si="7"/>
        <v>168</v>
      </c>
      <c r="D126" s="45">
        <f t="shared" si="8"/>
        <v>96768</v>
      </c>
      <c r="F126"/>
      <c r="G126"/>
      <c r="L126"/>
      <c r="N126"/>
      <c r="Q126">
        <f t="shared" si="9"/>
        <v>198</v>
      </c>
    </row>
    <row r="127" spans="1:17" s="4" customFormat="1" x14ac:dyDescent="0.25">
      <c r="A127" s="11">
        <v>42265</v>
      </c>
      <c r="B127" s="6">
        <v>84</v>
      </c>
      <c r="C127" s="45">
        <f t="shared" si="7"/>
        <v>198</v>
      </c>
      <c r="D127" s="45">
        <f t="shared" si="8"/>
        <v>16632</v>
      </c>
      <c r="F127"/>
      <c r="G127"/>
      <c r="L127"/>
      <c r="N127"/>
      <c r="Q127">
        <f t="shared" si="9"/>
        <v>198</v>
      </c>
    </row>
    <row r="128" spans="1:17" s="4" customFormat="1" x14ac:dyDescent="0.25">
      <c r="A128" s="11">
        <v>42265</v>
      </c>
      <c r="B128" s="6">
        <v>108</v>
      </c>
      <c r="C128" s="45">
        <f t="shared" si="7"/>
        <v>198</v>
      </c>
      <c r="D128" s="45">
        <f t="shared" si="8"/>
        <v>21384</v>
      </c>
      <c r="F128"/>
      <c r="G128"/>
      <c r="L128"/>
      <c r="N128"/>
      <c r="Q128">
        <f t="shared" si="9"/>
        <v>187</v>
      </c>
    </row>
    <row r="129" spans="1:17" s="4" customFormat="1" x14ac:dyDescent="0.25">
      <c r="A129" s="11">
        <v>42263</v>
      </c>
      <c r="B129" s="6">
        <v>228</v>
      </c>
      <c r="C129" s="45">
        <f t="shared" si="7"/>
        <v>187</v>
      </c>
      <c r="D129" s="45">
        <f t="shared" si="8"/>
        <v>42636</v>
      </c>
      <c r="F129"/>
      <c r="G129"/>
      <c r="L129"/>
      <c r="N129"/>
      <c r="Q129">
        <f t="shared" si="9"/>
        <v>168</v>
      </c>
    </row>
    <row r="130" spans="1:17" s="4" customFormat="1" x14ac:dyDescent="0.25">
      <c r="A130" s="11">
        <v>42262</v>
      </c>
      <c r="B130" s="6">
        <v>408</v>
      </c>
      <c r="C130" s="45">
        <f t="shared" si="7"/>
        <v>168</v>
      </c>
      <c r="D130" s="45">
        <f t="shared" si="8"/>
        <v>68544</v>
      </c>
      <c r="F130"/>
      <c r="G130"/>
      <c r="L130"/>
      <c r="N130"/>
      <c r="Q130">
        <f t="shared" si="9"/>
        <v>168</v>
      </c>
    </row>
    <row r="131" spans="1:17" s="4" customFormat="1" x14ac:dyDescent="0.25">
      <c r="A131" s="11">
        <v>42263</v>
      </c>
      <c r="B131" s="6">
        <v>516</v>
      </c>
      <c r="C131" s="45">
        <f t="shared" si="7"/>
        <v>168</v>
      </c>
      <c r="D131" s="45">
        <f t="shared" si="8"/>
        <v>86688</v>
      </c>
      <c r="F131"/>
      <c r="G131"/>
      <c r="L131"/>
      <c r="N131"/>
      <c r="Q131">
        <f t="shared" si="9"/>
        <v>152</v>
      </c>
    </row>
    <row r="132" spans="1:17" s="4" customFormat="1" x14ac:dyDescent="0.25">
      <c r="A132" s="11">
        <v>42263</v>
      </c>
      <c r="B132" s="6">
        <v>804</v>
      </c>
      <c r="C132" s="45">
        <f t="shared" si="7"/>
        <v>152</v>
      </c>
      <c r="D132" s="45">
        <f t="shared" si="8"/>
        <v>122208</v>
      </c>
      <c r="F132"/>
      <c r="G132"/>
      <c r="L132"/>
      <c r="N132"/>
      <c r="Q132">
        <f t="shared" si="9"/>
        <v>152</v>
      </c>
    </row>
    <row r="133" spans="1:17" s="4" customFormat="1" x14ac:dyDescent="0.25">
      <c r="A133" s="11">
        <v>42265</v>
      </c>
      <c r="B133" s="6">
        <v>696</v>
      </c>
      <c r="C133" s="45">
        <f t="shared" si="7"/>
        <v>152</v>
      </c>
      <c r="D133" s="45">
        <f t="shared" si="8"/>
        <v>105792</v>
      </c>
      <c r="F133"/>
      <c r="G133"/>
      <c r="L133"/>
      <c r="N133"/>
      <c r="Q133">
        <f t="shared" si="9"/>
        <v>187</v>
      </c>
    </row>
    <row r="134" spans="1:17" s="4" customFormat="1" x14ac:dyDescent="0.25">
      <c r="A134" s="11">
        <v>42263</v>
      </c>
      <c r="B134" s="6">
        <v>264</v>
      </c>
      <c r="C134" s="45">
        <f t="shared" si="7"/>
        <v>187</v>
      </c>
      <c r="D134" s="45">
        <f t="shared" si="8"/>
        <v>49368</v>
      </c>
      <c r="F134"/>
      <c r="G134"/>
      <c r="L134"/>
      <c r="N134"/>
      <c r="Q134">
        <f t="shared" si="9"/>
        <v>168</v>
      </c>
    </row>
    <row r="135" spans="1:17" s="4" customFormat="1" x14ac:dyDescent="0.25">
      <c r="A135" s="11">
        <v>42262</v>
      </c>
      <c r="B135" s="6">
        <v>396</v>
      </c>
      <c r="C135" s="45">
        <f t="shared" si="7"/>
        <v>168</v>
      </c>
      <c r="D135" s="45">
        <f t="shared" si="8"/>
        <v>66528</v>
      </c>
      <c r="F135"/>
      <c r="G135"/>
      <c r="L135"/>
      <c r="N135"/>
      <c r="Q135">
        <f t="shared" ref="Q135:Q166" si="10">LOOKUP(B136,$I$8:$K$11)</f>
        <v>152</v>
      </c>
    </row>
    <row r="136" spans="1:17" s="4" customFormat="1" x14ac:dyDescent="0.25">
      <c r="A136" s="11">
        <v>42262</v>
      </c>
      <c r="B136" s="6">
        <v>780</v>
      </c>
      <c r="C136" s="45">
        <f t="shared" si="7"/>
        <v>152</v>
      </c>
      <c r="D136" s="45">
        <f t="shared" si="8"/>
        <v>118560</v>
      </c>
      <c r="F136"/>
      <c r="G136"/>
      <c r="L136"/>
      <c r="N136"/>
      <c r="Q136">
        <f t="shared" si="10"/>
        <v>198</v>
      </c>
    </row>
    <row r="137" spans="1:17" s="4" customFormat="1" x14ac:dyDescent="0.25">
      <c r="A137" s="11">
        <v>42264</v>
      </c>
      <c r="B137" s="6">
        <v>12</v>
      </c>
      <c r="C137" s="45">
        <f t="shared" ref="C137:C179" si="11">VLOOKUP(B137,$I$8:$K$11,3)</f>
        <v>198</v>
      </c>
      <c r="D137" s="45">
        <f t="shared" ref="D137:D179" si="12">C137*B137</f>
        <v>2376</v>
      </c>
      <c r="F137"/>
      <c r="G137"/>
      <c r="L137"/>
      <c r="N137"/>
      <c r="Q137">
        <f t="shared" si="10"/>
        <v>168</v>
      </c>
    </row>
    <row r="138" spans="1:17" s="4" customFormat="1" x14ac:dyDescent="0.25">
      <c r="A138" s="11">
        <v>42263</v>
      </c>
      <c r="B138" s="6">
        <v>432</v>
      </c>
      <c r="C138" s="45">
        <f t="shared" si="11"/>
        <v>168</v>
      </c>
      <c r="D138" s="45">
        <f t="shared" si="12"/>
        <v>72576</v>
      </c>
      <c r="F138"/>
      <c r="G138"/>
      <c r="L138"/>
      <c r="N138"/>
      <c r="Q138">
        <f t="shared" si="10"/>
        <v>187</v>
      </c>
    </row>
    <row r="139" spans="1:17" s="4" customFormat="1" x14ac:dyDescent="0.25">
      <c r="A139" s="11">
        <v>42262</v>
      </c>
      <c r="B139" s="6">
        <v>216</v>
      </c>
      <c r="C139" s="45">
        <f t="shared" si="11"/>
        <v>187</v>
      </c>
      <c r="D139" s="45">
        <f t="shared" si="12"/>
        <v>40392</v>
      </c>
      <c r="F139"/>
      <c r="G139"/>
      <c r="L139"/>
      <c r="N139"/>
      <c r="Q139">
        <f t="shared" si="10"/>
        <v>152</v>
      </c>
    </row>
    <row r="140" spans="1:17" s="4" customFormat="1" x14ac:dyDescent="0.25">
      <c r="A140" s="11">
        <v>42265</v>
      </c>
      <c r="B140" s="6">
        <v>768</v>
      </c>
      <c r="C140" s="45">
        <f t="shared" si="11"/>
        <v>152</v>
      </c>
      <c r="D140" s="45">
        <f t="shared" si="12"/>
        <v>116736</v>
      </c>
      <c r="F140"/>
      <c r="G140"/>
      <c r="L140"/>
      <c r="N140"/>
      <c r="Q140">
        <f t="shared" si="10"/>
        <v>187</v>
      </c>
    </row>
    <row r="141" spans="1:17" s="4" customFormat="1" x14ac:dyDescent="0.25">
      <c r="A141" s="11">
        <v>42262</v>
      </c>
      <c r="B141" s="6">
        <v>204</v>
      </c>
      <c r="C141" s="45">
        <f t="shared" si="11"/>
        <v>187</v>
      </c>
      <c r="D141" s="45">
        <f t="shared" si="12"/>
        <v>38148</v>
      </c>
      <c r="F141"/>
      <c r="G141"/>
      <c r="L141"/>
      <c r="N141"/>
      <c r="Q141">
        <f t="shared" si="10"/>
        <v>168</v>
      </c>
    </row>
    <row r="142" spans="1:17" s="4" customFormat="1" x14ac:dyDescent="0.25">
      <c r="A142" s="11">
        <v>42263</v>
      </c>
      <c r="B142" s="6">
        <v>540</v>
      </c>
      <c r="C142" s="45">
        <f t="shared" si="11"/>
        <v>168</v>
      </c>
      <c r="D142" s="45">
        <f t="shared" si="12"/>
        <v>90720</v>
      </c>
      <c r="F142"/>
      <c r="G142"/>
      <c r="L142"/>
      <c r="N142"/>
      <c r="Q142">
        <f t="shared" si="10"/>
        <v>168</v>
      </c>
    </row>
    <row r="143" spans="1:17" s="4" customFormat="1" x14ac:dyDescent="0.25">
      <c r="A143" s="11">
        <v>42264</v>
      </c>
      <c r="B143" s="6">
        <v>300</v>
      </c>
      <c r="C143" s="45">
        <f t="shared" si="11"/>
        <v>168</v>
      </c>
      <c r="D143" s="45">
        <f t="shared" si="12"/>
        <v>50400</v>
      </c>
      <c r="F143"/>
      <c r="G143"/>
      <c r="L143"/>
      <c r="N143"/>
      <c r="Q143">
        <f t="shared" si="10"/>
        <v>152</v>
      </c>
    </row>
    <row r="144" spans="1:17" s="4" customFormat="1" x14ac:dyDescent="0.25">
      <c r="A144" s="11">
        <v>42262</v>
      </c>
      <c r="B144" s="6">
        <v>804</v>
      </c>
      <c r="C144" s="45">
        <f t="shared" si="11"/>
        <v>152</v>
      </c>
      <c r="D144" s="45">
        <f t="shared" si="12"/>
        <v>122208</v>
      </c>
      <c r="F144"/>
      <c r="G144"/>
      <c r="L144"/>
      <c r="N144"/>
      <c r="Q144">
        <f t="shared" si="10"/>
        <v>198</v>
      </c>
    </row>
    <row r="145" spans="1:17" s="4" customFormat="1" x14ac:dyDescent="0.25">
      <c r="A145" s="11">
        <v>42263</v>
      </c>
      <c r="B145" s="6">
        <v>132</v>
      </c>
      <c r="C145" s="45">
        <f t="shared" si="11"/>
        <v>198</v>
      </c>
      <c r="D145" s="45">
        <f t="shared" si="12"/>
        <v>26136</v>
      </c>
      <c r="F145"/>
      <c r="G145"/>
      <c r="L145"/>
      <c r="N145"/>
      <c r="Q145">
        <f t="shared" si="10"/>
        <v>152</v>
      </c>
    </row>
    <row r="146" spans="1:17" s="4" customFormat="1" x14ac:dyDescent="0.25">
      <c r="A146" s="11">
        <v>42264</v>
      </c>
      <c r="B146" s="6">
        <v>804</v>
      </c>
      <c r="C146" s="45">
        <f t="shared" si="11"/>
        <v>152</v>
      </c>
      <c r="D146" s="45">
        <f t="shared" si="12"/>
        <v>122208</v>
      </c>
      <c r="F146"/>
      <c r="G146"/>
      <c r="L146"/>
      <c r="N146"/>
      <c r="Q146">
        <f t="shared" si="10"/>
        <v>187</v>
      </c>
    </row>
    <row r="147" spans="1:17" s="4" customFormat="1" x14ac:dyDescent="0.25">
      <c r="A147" s="11">
        <v>42264</v>
      </c>
      <c r="B147" s="6">
        <v>168</v>
      </c>
      <c r="C147" s="45">
        <f t="shared" si="11"/>
        <v>187</v>
      </c>
      <c r="D147" s="45">
        <f t="shared" si="12"/>
        <v>31416</v>
      </c>
      <c r="F147"/>
      <c r="G147"/>
      <c r="L147"/>
      <c r="N147"/>
      <c r="Q147">
        <f t="shared" si="10"/>
        <v>198</v>
      </c>
    </row>
    <row r="148" spans="1:17" s="4" customFormat="1" x14ac:dyDescent="0.25">
      <c r="A148" s="11">
        <v>42262</v>
      </c>
      <c r="B148" s="6">
        <v>96</v>
      </c>
      <c r="C148" s="45">
        <f t="shared" si="11"/>
        <v>198</v>
      </c>
      <c r="D148" s="45">
        <f t="shared" si="12"/>
        <v>19008</v>
      </c>
      <c r="F148"/>
      <c r="G148"/>
      <c r="L148"/>
      <c r="N148"/>
      <c r="Q148">
        <f t="shared" si="10"/>
        <v>152</v>
      </c>
    </row>
    <row r="149" spans="1:17" s="4" customFormat="1" x14ac:dyDescent="0.25">
      <c r="A149" s="11">
        <v>42264</v>
      </c>
      <c r="B149" s="6">
        <v>588</v>
      </c>
      <c r="C149" s="45">
        <f t="shared" si="11"/>
        <v>152</v>
      </c>
      <c r="D149" s="45">
        <f t="shared" si="12"/>
        <v>89376</v>
      </c>
      <c r="F149"/>
      <c r="G149"/>
      <c r="L149"/>
      <c r="N149"/>
      <c r="Q149">
        <f t="shared" si="10"/>
        <v>168</v>
      </c>
    </row>
    <row r="150" spans="1:17" s="4" customFormat="1" x14ac:dyDescent="0.25">
      <c r="A150" s="11">
        <v>42262</v>
      </c>
      <c r="B150" s="6">
        <v>384</v>
      </c>
      <c r="C150" s="45">
        <f t="shared" si="11"/>
        <v>168</v>
      </c>
      <c r="D150" s="45">
        <f t="shared" si="12"/>
        <v>64512</v>
      </c>
      <c r="F150"/>
      <c r="G150"/>
      <c r="L150"/>
      <c r="N150"/>
      <c r="Q150">
        <f t="shared" si="10"/>
        <v>168</v>
      </c>
    </row>
    <row r="151" spans="1:17" s="4" customFormat="1" x14ac:dyDescent="0.25">
      <c r="A151" s="11">
        <v>42264</v>
      </c>
      <c r="B151" s="6">
        <v>456</v>
      </c>
      <c r="C151" s="45">
        <f t="shared" si="11"/>
        <v>168</v>
      </c>
      <c r="D151" s="45">
        <f t="shared" si="12"/>
        <v>76608</v>
      </c>
      <c r="F151"/>
      <c r="G151"/>
      <c r="L151"/>
      <c r="N151"/>
      <c r="Q151">
        <f t="shared" si="10"/>
        <v>198</v>
      </c>
    </row>
    <row r="152" spans="1:17" s="4" customFormat="1" x14ac:dyDescent="0.25">
      <c r="A152" s="11">
        <v>42264</v>
      </c>
      <c r="B152" s="6">
        <v>24</v>
      </c>
      <c r="C152" s="45">
        <f t="shared" si="11"/>
        <v>198</v>
      </c>
      <c r="D152" s="45">
        <f t="shared" si="12"/>
        <v>4752</v>
      </c>
      <c r="F152"/>
      <c r="G152"/>
      <c r="L152"/>
      <c r="N152"/>
      <c r="Q152">
        <f t="shared" si="10"/>
        <v>152</v>
      </c>
    </row>
    <row r="153" spans="1:17" s="4" customFormat="1" x14ac:dyDescent="0.25">
      <c r="A153" s="11">
        <v>42265</v>
      </c>
      <c r="B153" s="6">
        <v>684</v>
      </c>
      <c r="C153" s="45">
        <f t="shared" si="11"/>
        <v>152</v>
      </c>
      <c r="D153" s="45">
        <f t="shared" si="12"/>
        <v>103968</v>
      </c>
      <c r="F153"/>
      <c r="G153"/>
      <c r="L153"/>
      <c r="N153"/>
      <c r="Q153">
        <f t="shared" si="10"/>
        <v>168</v>
      </c>
    </row>
    <row r="154" spans="1:17" s="4" customFormat="1" x14ac:dyDescent="0.25">
      <c r="A154" s="11">
        <v>42264</v>
      </c>
      <c r="B154" s="6">
        <v>384</v>
      </c>
      <c r="C154" s="45">
        <f t="shared" si="11"/>
        <v>168</v>
      </c>
      <c r="D154" s="45">
        <f t="shared" si="12"/>
        <v>64512</v>
      </c>
      <c r="F154"/>
      <c r="G154"/>
      <c r="L154"/>
      <c r="N154"/>
      <c r="Q154">
        <f t="shared" si="10"/>
        <v>187</v>
      </c>
    </row>
    <row r="155" spans="1:17" s="4" customFormat="1" x14ac:dyDescent="0.25">
      <c r="A155" s="11">
        <v>42262</v>
      </c>
      <c r="B155" s="6">
        <v>192</v>
      </c>
      <c r="C155" s="45">
        <f t="shared" si="11"/>
        <v>187</v>
      </c>
      <c r="D155" s="45">
        <f t="shared" si="12"/>
        <v>35904</v>
      </c>
      <c r="F155"/>
      <c r="G155"/>
      <c r="L155"/>
      <c r="N155"/>
      <c r="Q155">
        <f t="shared" si="10"/>
        <v>168</v>
      </c>
    </row>
    <row r="156" spans="1:17" s="4" customFormat="1" x14ac:dyDescent="0.25">
      <c r="A156" s="11">
        <v>42263</v>
      </c>
      <c r="B156" s="6">
        <v>300</v>
      </c>
      <c r="C156" s="45">
        <f t="shared" si="11"/>
        <v>168</v>
      </c>
      <c r="D156" s="45">
        <f t="shared" si="12"/>
        <v>50400</v>
      </c>
      <c r="F156"/>
      <c r="G156"/>
      <c r="L156"/>
      <c r="N156"/>
      <c r="Q156">
        <f t="shared" si="10"/>
        <v>152</v>
      </c>
    </row>
    <row r="157" spans="1:17" s="4" customFormat="1" x14ac:dyDescent="0.25">
      <c r="A157" s="11">
        <v>42265</v>
      </c>
      <c r="B157" s="6">
        <v>684</v>
      </c>
      <c r="C157" s="45">
        <f t="shared" si="11"/>
        <v>152</v>
      </c>
      <c r="D157" s="45">
        <f t="shared" si="12"/>
        <v>103968</v>
      </c>
      <c r="F157"/>
      <c r="G157"/>
      <c r="L157"/>
      <c r="N157"/>
      <c r="Q157">
        <f t="shared" si="10"/>
        <v>187</v>
      </c>
    </row>
    <row r="158" spans="1:17" s="4" customFormat="1" x14ac:dyDescent="0.25">
      <c r="A158" s="11">
        <v>42263</v>
      </c>
      <c r="B158" s="6">
        <v>288</v>
      </c>
      <c r="C158" s="45">
        <f t="shared" si="11"/>
        <v>187</v>
      </c>
      <c r="D158" s="45">
        <f t="shared" si="12"/>
        <v>53856</v>
      </c>
      <c r="F158"/>
      <c r="G158"/>
      <c r="L158"/>
      <c r="N158"/>
      <c r="Q158">
        <f t="shared" si="10"/>
        <v>168</v>
      </c>
    </row>
    <row r="159" spans="1:17" s="4" customFormat="1" x14ac:dyDescent="0.25">
      <c r="A159" s="11">
        <v>42265</v>
      </c>
      <c r="B159" s="6">
        <v>432</v>
      </c>
      <c r="C159" s="45">
        <f t="shared" si="11"/>
        <v>168</v>
      </c>
      <c r="D159" s="45">
        <f t="shared" si="12"/>
        <v>72576</v>
      </c>
      <c r="F159"/>
      <c r="G159"/>
      <c r="L159"/>
      <c r="N159"/>
      <c r="Q159">
        <f t="shared" si="10"/>
        <v>152</v>
      </c>
    </row>
    <row r="160" spans="1:17" s="4" customFormat="1" x14ac:dyDescent="0.25">
      <c r="A160" s="11">
        <v>42263</v>
      </c>
      <c r="B160" s="6">
        <v>648</v>
      </c>
      <c r="C160" s="45">
        <f t="shared" si="11"/>
        <v>152</v>
      </c>
      <c r="D160" s="45">
        <f t="shared" si="12"/>
        <v>98496</v>
      </c>
      <c r="F160"/>
      <c r="G160"/>
      <c r="L160"/>
      <c r="N160"/>
      <c r="Q160">
        <f t="shared" si="10"/>
        <v>168</v>
      </c>
    </row>
    <row r="161" spans="1:17" s="4" customFormat="1" x14ac:dyDescent="0.25">
      <c r="A161" s="11">
        <v>42263</v>
      </c>
      <c r="B161" s="6">
        <v>324</v>
      </c>
      <c r="C161" s="45">
        <f t="shared" si="11"/>
        <v>168</v>
      </c>
      <c r="D161" s="45">
        <f t="shared" si="12"/>
        <v>54432</v>
      </c>
      <c r="F161"/>
      <c r="G161"/>
      <c r="L161"/>
      <c r="N161"/>
      <c r="Q161">
        <f t="shared" si="10"/>
        <v>198</v>
      </c>
    </row>
    <row r="162" spans="1:17" s="4" customFormat="1" x14ac:dyDescent="0.25">
      <c r="A162" s="11">
        <v>42263</v>
      </c>
      <c r="B162" s="6">
        <v>24</v>
      </c>
      <c r="C162" s="45">
        <f t="shared" si="11"/>
        <v>198</v>
      </c>
      <c r="D162" s="45">
        <f t="shared" si="12"/>
        <v>4752</v>
      </c>
      <c r="F162"/>
      <c r="G162"/>
      <c r="L162"/>
      <c r="N162"/>
      <c r="Q162">
        <f t="shared" si="10"/>
        <v>168</v>
      </c>
    </row>
    <row r="163" spans="1:17" s="4" customFormat="1" x14ac:dyDescent="0.25">
      <c r="A163" s="11">
        <v>42262</v>
      </c>
      <c r="B163" s="6">
        <v>552</v>
      </c>
      <c r="C163" s="45">
        <f t="shared" si="11"/>
        <v>168</v>
      </c>
      <c r="D163" s="45">
        <f t="shared" si="12"/>
        <v>92736</v>
      </c>
      <c r="F163"/>
      <c r="G163"/>
      <c r="L163"/>
      <c r="N163"/>
      <c r="Q163">
        <f t="shared" si="10"/>
        <v>187</v>
      </c>
    </row>
    <row r="164" spans="1:17" s="4" customFormat="1" x14ac:dyDescent="0.25">
      <c r="A164" s="11">
        <v>42264</v>
      </c>
      <c r="B164" s="6">
        <v>168</v>
      </c>
      <c r="C164" s="45">
        <f t="shared" si="11"/>
        <v>187</v>
      </c>
      <c r="D164" s="45">
        <f t="shared" si="12"/>
        <v>31416</v>
      </c>
      <c r="F164"/>
      <c r="G164"/>
      <c r="L164"/>
      <c r="N164"/>
      <c r="Q164">
        <f t="shared" si="10"/>
        <v>152</v>
      </c>
    </row>
    <row r="165" spans="1:17" s="4" customFormat="1" x14ac:dyDescent="0.25">
      <c r="A165" s="11">
        <v>42264</v>
      </c>
      <c r="B165" s="6">
        <v>744</v>
      </c>
      <c r="C165" s="45">
        <f t="shared" si="11"/>
        <v>152</v>
      </c>
      <c r="D165" s="45">
        <f t="shared" si="12"/>
        <v>113088</v>
      </c>
      <c r="F165"/>
      <c r="G165"/>
      <c r="L165"/>
      <c r="N165"/>
      <c r="Q165">
        <f t="shared" si="10"/>
        <v>187</v>
      </c>
    </row>
    <row r="166" spans="1:17" s="4" customFormat="1" x14ac:dyDescent="0.25">
      <c r="A166" s="11">
        <v>42264</v>
      </c>
      <c r="B166" s="6">
        <v>228</v>
      </c>
      <c r="C166" s="45">
        <f t="shared" si="11"/>
        <v>187</v>
      </c>
      <c r="D166" s="45">
        <f t="shared" si="12"/>
        <v>42636</v>
      </c>
      <c r="F166"/>
      <c r="G166"/>
      <c r="L166"/>
      <c r="N166"/>
      <c r="Q166">
        <f t="shared" si="10"/>
        <v>152</v>
      </c>
    </row>
    <row r="167" spans="1:17" s="4" customFormat="1" x14ac:dyDescent="0.25">
      <c r="A167" s="11">
        <v>42263</v>
      </c>
      <c r="B167" s="6">
        <v>636</v>
      </c>
      <c r="C167" s="45">
        <f t="shared" si="11"/>
        <v>152</v>
      </c>
      <c r="D167" s="45">
        <f t="shared" si="12"/>
        <v>96672</v>
      </c>
      <c r="F167"/>
      <c r="G167"/>
      <c r="L167"/>
      <c r="N167"/>
      <c r="Q167">
        <f t="shared" ref="Q167:Q178" si="13">LOOKUP(B168,$I$8:$K$11)</f>
        <v>168</v>
      </c>
    </row>
    <row r="168" spans="1:17" s="4" customFormat="1" x14ac:dyDescent="0.25">
      <c r="A168" s="11">
        <v>42263</v>
      </c>
      <c r="B168" s="6">
        <v>312</v>
      </c>
      <c r="C168" s="45">
        <f t="shared" si="11"/>
        <v>168</v>
      </c>
      <c r="D168" s="45">
        <f t="shared" si="12"/>
        <v>52416</v>
      </c>
      <c r="F168"/>
      <c r="G168"/>
      <c r="L168"/>
      <c r="N168"/>
      <c r="Q168">
        <f t="shared" si="13"/>
        <v>198</v>
      </c>
    </row>
    <row r="169" spans="1:17" s="4" customFormat="1" x14ac:dyDescent="0.25">
      <c r="A169" s="11">
        <v>42263</v>
      </c>
      <c r="B169" s="6">
        <v>36</v>
      </c>
      <c r="C169" s="45">
        <f t="shared" si="11"/>
        <v>198</v>
      </c>
      <c r="D169" s="45">
        <f t="shared" si="12"/>
        <v>7128</v>
      </c>
      <c r="F169"/>
      <c r="G169"/>
      <c r="L169"/>
      <c r="N169"/>
      <c r="Q169">
        <f t="shared" si="13"/>
        <v>168</v>
      </c>
    </row>
    <row r="170" spans="1:17" s="4" customFormat="1" x14ac:dyDescent="0.25">
      <c r="A170" s="11">
        <v>42264</v>
      </c>
      <c r="B170" s="6">
        <v>492</v>
      </c>
      <c r="C170" s="45">
        <f t="shared" si="11"/>
        <v>168</v>
      </c>
      <c r="D170" s="45">
        <f t="shared" si="12"/>
        <v>82656</v>
      </c>
      <c r="F170"/>
      <c r="G170"/>
      <c r="L170"/>
      <c r="N170"/>
      <c r="Q170">
        <f t="shared" si="13"/>
        <v>152</v>
      </c>
    </row>
    <row r="171" spans="1:17" s="4" customFormat="1" x14ac:dyDescent="0.25">
      <c r="A171" s="11">
        <v>42264</v>
      </c>
      <c r="B171" s="6">
        <v>660</v>
      </c>
      <c r="C171" s="45">
        <f t="shared" si="11"/>
        <v>152</v>
      </c>
      <c r="D171" s="45">
        <f t="shared" si="12"/>
        <v>100320</v>
      </c>
      <c r="F171"/>
      <c r="G171"/>
      <c r="L171"/>
      <c r="N171"/>
      <c r="Q171">
        <f t="shared" si="13"/>
        <v>152</v>
      </c>
    </row>
    <row r="172" spans="1:17" s="4" customFormat="1" x14ac:dyDescent="0.25">
      <c r="A172" s="11">
        <v>42262</v>
      </c>
      <c r="B172" s="6">
        <v>756</v>
      </c>
      <c r="C172" s="45">
        <f t="shared" si="11"/>
        <v>152</v>
      </c>
      <c r="D172" s="45">
        <f t="shared" si="12"/>
        <v>114912</v>
      </c>
      <c r="F172"/>
      <c r="G172"/>
      <c r="L172"/>
      <c r="N172"/>
      <c r="Q172">
        <f t="shared" si="13"/>
        <v>187</v>
      </c>
    </row>
    <row r="173" spans="1:17" s="4" customFormat="1" x14ac:dyDescent="0.25">
      <c r="A173" s="11">
        <v>42265</v>
      </c>
      <c r="B173" s="6">
        <v>288</v>
      </c>
      <c r="C173" s="45">
        <f t="shared" si="11"/>
        <v>187</v>
      </c>
      <c r="D173" s="45">
        <f t="shared" si="12"/>
        <v>53856</v>
      </c>
      <c r="F173"/>
      <c r="G173"/>
      <c r="L173"/>
      <c r="N173"/>
      <c r="Q173">
        <f t="shared" si="13"/>
        <v>168</v>
      </c>
    </row>
    <row r="174" spans="1:17" s="4" customFormat="1" x14ac:dyDescent="0.25">
      <c r="A174" s="11">
        <v>42265</v>
      </c>
      <c r="B174" s="6">
        <v>408</v>
      </c>
      <c r="C174" s="45">
        <f t="shared" si="11"/>
        <v>168</v>
      </c>
      <c r="D174" s="45">
        <f t="shared" si="12"/>
        <v>68544</v>
      </c>
      <c r="F174"/>
      <c r="G174"/>
      <c r="L174"/>
      <c r="N174"/>
      <c r="Q174">
        <f t="shared" si="13"/>
        <v>168</v>
      </c>
    </row>
    <row r="175" spans="1:17" s="4" customFormat="1" x14ac:dyDescent="0.25">
      <c r="A175" s="11">
        <v>42263</v>
      </c>
      <c r="B175" s="6">
        <v>384</v>
      </c>
      <c r="C175" s="45">
        <f t="shared" si="11"/>
        <v>168</v>
      </c>
      <c r="D175" s="45">
        <f t="shared" si="12"/>
        <v>64512</v>
      </c>
      <c r="F175"/>
      <c r="G175"/>
      <c r="L175"/>
      <c r="N175"/>
      <c r="Q175">
        <f t="shared" si="13"/>
        <v>152</v>
      </c>
    </row>
    <row r="176" spans="1:17" s="4" customFormat="1" x14ac:dyDescent="0.25">
      <c r="A176" s="11">
        <v>42265</v>
      </c>
      <c r="B176" s="6">
        <v>612</v>
      </c>
      <c r="C176" s="45">
        <f t="shared" si="11"/>
        <v>152</v>
      </c>
      <c r="D176" s="45">
        <f t="shared" si="12"/>
        <v>93024</v>
      </c>
      <c r="F176"/>
      <c r="G176"/>
      <c r="L176"/>
      <c r="N176"/>
      <c r="Q176">
        <f t="shared" si="13"/>
        <v>152</v>
      </c>
    </row>
    <row r="177" spans="1:17" s="4" customFormat="1" x14ac:dyDescent="0.25">
      <c r="A177" s="11">
        <v>42262</v>
      </c>
      <c r="B177" s="6">
        <v>600</v>
      </c>
      <c r="C177" s="45">
        <f t="shared" si="11"/>
        <v>152</v>
      </c>
      <c r="D177" s="45">
        <f t="shared" si="12"/>
        <v>91200</v>
      </c>
      <c r="F177"/>
      <c r="G177"/>
      <c r="L177"/>
      <c r="N177"/>
      <c r="Q177">
        <f t="shared" si="13"/>
        <v>168</v>
      </c>
    </row>
    <row r="178" spans="1:17" s="4" customFormat="1" x14ac:dyDescent="0.25">
      <c r="A178" s="11">
        <v>42264</v>
      </c>
      <c r="B178" s="6">
        <v>432</v>
      </c>
      <c r="C178" s="45">
        <f t="shared" si="11"/>
        <v>168</v>
      </c>
      <c r="D178" s="45">
        <f t="shared" si="12"/>
        <v>72576</v>
      </c>
      <c r="F178"/>
      <c r="G178"/>
      <c r="L178"/>
      <c r="N178"/>
      <c r="Q178">
        <f t="shared" si="13"/>
        <v>168</v>
      </c>
    </row>
    <row r="179" spans="1:17" s="4" customFormat="1" x14ac:dyDescent="0.25">
      <c r="A179" s="11">
        <v>42263</v>
      </c>
      <c r="B179" s="6">
        <v>300</v>
      </c>
      <c r="C179" s="45">
        <f t="shared" si="11"/>
        <v>168</v>
      </c>
      <c r="D179" s="45">
        <f t="shared" si="12"/>
        <v>50400</v>
      </c>
      <c r="F179"/>
      <c r="G179"/>
      <c r="L179"/>
      <c r="N179"/>
      <c r="Q179"/>
    </row>
  </sheetData>
  <printOptions horizontalCentered="1"/>
  <pageMargins left="0.4" right="0.4" top="0.4" bottom="0.75" header="0.3" footer="0.3"/>
  <pageSetup scale="55" orientation="landscape" r:id="rId1"/>
  <headerFooter>
    <oddFooter>&amp;L&amp;A&amp;RPage &amp;P of &amp;N</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pageSetUpPr fitToPage="1"/>
  </sheetPr>
  <dimension ref="A1:N77"/>
  <sheetViews>
    <sheetView zoomScale="55" zoomScaleNormal="55" workbookViewId="0"/>
  </sheetViews>
  <sheetFormatPr defaultRowHeight="15" x14ac:dyDescent="0.25"/>
  <cols>
    <col min="1" max="1" width="27.28515625" customWidth="1"/>
    <col min="2" max="2" width="18.7109375" bestFit="1" customWidth="1"/>
    <col min="3" max="3" width="11" customWidth="1"/>
    <col min="4" max="4" width="8" customWidth="1"/>
    <col min="5" max="8" width="17.85546875" customWidth="1"/>
    <col min="9" max="9" width="15.85546875" customWidth="1"/>
    <col min="10" max="10" width="23.42578125" customWidth="1"/>
    <col min="11" max="11" width="16.140625" customWidth="1"/>
    <col min="13" max="13" width="31.140625" customWidth="1"/>
    <col min="14" max="14" width="15.85546875" customWidth="1"/>
    <col min="17" max="17" width="11" customWidth="1"/>
  </cols>
  <sheetData>
    <row r="1" spans="1:14" x14ac:dyDescent="0.25">
      <c r="A1" s="32" t="s">
        <v>259</v>
      </c>
      <c r="B1" s="22"/>
      <c r="C1" s="22"/>
      <c r="D1" s="22"/>
      <c r="E1" s="22"/>
      <c r="F1" s="22"/>
      <c r="G1" s="22"/>
      <c r="H1" s="22"/>
      <c r="I1" s="22"/>
      <c r="J1" s="22"/>
      <c r="K1" s="33"/>
      <c r="M1" s="36" t="s">
        <v>215</v>
      </c>
      <c r="N1" s="38"/>
    </row>
    <row r="2" spans="1:14" x14ac:dyDescent="0.25">
      <c r="A2" s="34" t="s">
        <v>213</v>
      </c>
      <c r="B2" s="30"/>
      <c r="C2" s="30"/>
      <c r="D2" s="30"/>
      <c r="E2" s="30"/>
      <c r="F2" s="30"/>
      <c r="G2" s="30"/>
      <c r="H2" s="30"/>
      <c r="I2" s="30"/>
      <c r="J2" s="30"/>
      <c r="K2" s="35"/>
      <c r="M2" s="18" t="s">
        <v>263</v>
      </c>
      <c r="N2" s="63">
        <v>3.11</v>
      </c>
    </row>
    <row r="3" spans="1:14" x14ac:dyDescent="0.25">
      <c r="M3" s="18" t="s">
        <v>264</v>
      </c>
      <c r="N3" s="63">
        <v>75</v>
      </c>
    </row>
    <row r="4" spans="1:14" ht="30" x14ac:dyDescent="0.25">
      <c r="E4" s="15" t="s">
        <v>23</v>
      </c>
      <c r="F4" s="15" t="s">
        <v>24</v>
      </c>
      <c r="G4" s="15" t="s">
        <v>25</v>
      </c>
      <c r="H4" s="15" t="s">
        <v>26</v>
      </c>
    </row>
    <row r="5" spans="1:14" x14ac:dyDescent="0.25">
      <c r="A5" s="14" t="s">
        <v>207</v>
      </c>
      <c r="E5" s="14" t="s">
        <v>212</v>
      </c>
    </row>
    <row r="7" spans="1:14" ht="30" x14ac:dyDescent="0.25">
      <c r="A7" s="16" t="s">
        <v>27</v>
      </c>
      <c r="B7" s="16" t="s">
        <v>28</v>
      </c>
      <c r="C7" s="16" t="s">
        <v>29</v>
      </c>
      <c r="E7" s="17" t="s">
        <v>30</v>
      </c>
      <c r="F7" s="17" t="s">
        <v>31</v>
      </c>
      <c r="G7" s="17" t="s">
        <v>32</v>
      </c>
      <c r="H7" s="17" t="s">
        <v>33</v>
      </c>
      <c r="I7" s="15" t="s">
        <v>260</v>
      </c>
      <c r="J7" s="15" t="s">
        <v>261</v>
      </c>
      <c r="K7" s="15" t="s">
        <v>262</v>
      </c>
    </row>
    <row r="8" spans="1:14" x14ac:dyDescent="0.25">
      <c r="A8" s="18" t="s">
        <v>34</v>
      </c>
      <c r="B8" s="18" t="s">
        <v>35</v>
      </c>
      <c r="C8" s="19" t="s">
        <v>36</v>
      </c>
      <c r="E8" s="18">
        <v>1447</v>
      </c>
      <c r="F8" s="18">
        <v>1830</v>
      </c>
      <c r="G8" s="18">
        <v>1686</v>
      </c>
      <c r="H8" s="18">
        <v>766</v>
      </c>
      <c r="I8" s="62">
        <f>MIN(E8:H8)</f>
        <v>766</v>
      </c>
      <c r="J8" s="62" t="str">
        <f>INDEX($E$4:$H$4,MATCH(I8,E8:H8,0))</f>
        <v>Oakland, California</v>
      </c>
      <c r="K8" s="45">
        <f>IF(I8*$N$2&lt;$N$3,$N$3,I8*$N$2)</f>
        <v>2382.2599999999998</v>
      </c>
    </row>
    <row r="9" spans="1:14" x14ac:dyDescent="0.25">
      <c r="A9" s="18" t="s">
        <v>37</v>
      </c>
      <c r="B9" s="18" t="s">
        <v>35</v>
      </c>
      <c r="C9" s="19" t="s">
        <v>38</v>
      </c>
      <c r="E9" s="18">
        <v>1405</v>
      </c>
      <c r="F9" s="18">
        <v>1870</v>
      </c>
      <c r="G9" s="18">
        <v>1715</v>
      </c>
      <c r="H9" s="18">
        <v>744</v>
      </c>
      <c r="I9" s="62">
        <f t="shared" ref="I9:I72" si="0">MIN(E9:H9)</f>
        <v>744</v>
      </c>
      <c r="J9" s="62" t="str">
        <f t="shared" ref="J9:J72" si="1">INDEX($E$4:$H$4,MATCH(I9,E9:H9,0))</f>
        <v>Oakland, California</v>
      </c>
      <c r="K9" s="45">
        <f t="shared" ref="K9:K72" si="2">IF(I9*$N$2&lt;$N$3,$N$3,I9*$N$2)</f>
        <v>2313.8399999999997</v>
      </c>
    </row>
    <row r="10" spans="1:14" x14ac:dyDescent="0.25">
      <c r="A10" s="18" t="s">
        <v>39</v>
      </c>
      <c r="B10" s="18" t="s">
        <v>35</v>
      </c>
      <c r="C10" s="19" t="s">
        <v>40</v>
      </c>
      <c r="E10" s="18">
        <v>1440</v>
      </c>
      <c r="F10" s="18">
        <v>1816</v>
      </c>
      <c r="G10" s="18">
        <v>1702</v>
      </c>
      <c r="H10" s="18">
        <v>758</v>
      </c>
      <c r="I10" s="62">
        <f t="shared" si="0"/>
        <v>758</v>
      </c>
      <c r="J10" s="62" t="str">
        <f t="shared" si="1"/>
        <v>Oakland, California</v>
      </c>
      <c r="K10" s="45">
        <f t="shared" si="2"/>
        <v>2357.38</v>
      </c>
    </row>
    <row r="11" spans="1:14" x14ac:dyDescent="0.25">
      <c r="A11" s="18" t="s">
        <v>41</v>
      </c>
      <c r="B11" s="18" t="s">
        <v>35</v>
      </c>
      <c r="C11" s="19" t="s">
        <v>42</v>
      </c>
      <c r="E11" s="18">
        <v>1435</v>
      </c>
      <c r="F11" s="18">
        <v>1818</v>
      </c>
      <c r="G11" s="18">
        <v>1706</v>
      </c>
      <c r="H11" s="18">
        <v>754</v>
      </c>
      <c r="I11" s="62">
        <f t="shared" si="0"/>
        <v>754</v>
      </c>
      <c r="J11" s="62" t="str">
        <f t="shared" si="1"/>
        <v>Oakland, California</v>
      </c>
      <c r="K11" s="45">
        <f t="shared" si="2"/>
        <v>2344.94</v>
      </c>
    </row>
    <row r="12" spans="1:14" x14ac:dyDescent="0.25">
      <c r="A12" s="18" t="s">
        <v>43</v>
      </c>
      <c r="B12" s="18" t="s">
        <v>44</v>
      </c>
      <c r="C12" s="19" t="s">
        <v>45</v>
      </c>
      <c r="E12" s="18">
        <v>2277</v>
      </c>
      <c r="F12" s="18">
        <v>743</v>
      </c>
      <c r="G12" s="18">
        <v>373</v>
      </c>
      <c r="H12" s="18">
        <v>1955</v>
      </c>
      <c r="I12" s="62">
        <f t="shared" si="0"/>
        <v>373</v>
      </c>
      <c r="J12" s="62" t="str">
        <f t="shared" si="1"/>
        <v>Birmingham, Alabama</v>
      </c>
      <c r="K12" s="45">
        <f t="shared" si="2"/>
        <v>1160.03</v>
      </c>
    </row>
    <row r="13" spans="1:14" x14ac:dyDescent="0.25">
      <c r="A13" s="18" t="s">
        <v>46</v>
      </c>
      <c r="B13" s="18" t="s">
        <v>47</v>
      </c>
      <c r="C13" s="19" t="s">
        <v>48</v>
      </c>
      <c r="E13" s="18">
        <v>796</v>
      </c>
      <c r="F13" s="18">
        <v>2146</v>
      </c>
      <c r="G13" s="18">
        <v>2299</v>
      </c>
      <c r="H13" s="18">
        <v>36</v>
      </c>
      <c r="I13" s="62">
        <f t="shared" si="0"/>
        <v>36</v>
      </c>
      <c r="J13" s="62" t="str">
        <f t="shared" si="1"/>
        <v>Oakland, California</v>
      </c>
      <c r="K13" s="45">
        <f t="shared" si="2"/>
        <v>111.96</v>
      </c>
    </row>
    <row r="14" spans="1:14" x14ac:dyDescent="0.25">
      <c r="A14" s="18" t="s">
        <v>49</v>
      </c>
      <c r="B14" s="18" t="s">
        <v>47</v>
      </c>
      <c r="C14" s="19" t="s">
        <v>50</v>
      </c>
      <c r="E14" s="18">
        <v>795</v>
      </c>
      <c r="F14" s="18">
        <v>2165</v>
      </c>
      <c r="G14" s="18">
        <v>2319</v>
      </c>
      <c r="H14" s="18">
        <v>4</v>
      </c>
      <c r="I14" s="62">
        <f t="shared" si="0"/>
        <v>4</v>
      </c>
      <c r="J14" s="62" t="str">
        <f t="shared" si="1"/>
        <v>Oakland, California</v>
      </c>
      <c r="K14" s="45">
        <f t="shared" si="2"/>
        <v>75</v>
      </c>
    </row>
    <row r="15" spans="1:14" x14ac:dyDescent="0.25">
      <c r="A15" s="18" t="s">
        <v>51</v>
      </c>
      <c r="B15" s="18" t="s">
        <v>47</v>
      </c>
      <c r="C15" s="19" t="s">
        <v>52</v>
      </c>
      <c r="E15" s="18">
        <v>1258</v>
      </c>
      <c r="F15" s="18">
        <v>2124</v>
      </c>
      <c r="G15" s="18">
        <v>1996</v>
      </c>
      <c r="H15" s="18">
        <v>499</v>
      </c>
      <c r="I15" s="62">
        <f t="shared" si="0"/>
        <v>499</v>
      </c>
      <c r="J15" s="62" t="str">
        <f t="shared" si="1"/>
        <v>Oakland, California</v>
      </c>
      <c r="K15" s="45">
        <f t="shared" si="2"/>
        <v>1551.8899999999999</v>
      </c>
    </row>
    <row r="16" spans="1:14" x14ac:dyDescent="0.25">
      <c r="A16" s="18" t="s">
        <v>53</v>
      </c>
      <c r="B16" s="18" t="s">
        <v>47</v>
      </c>
      <c r="C16" s="19" t="s">
        <v>54</v>
      </c>
      <c r="E16" s="18">
        <v>785</v>
      </c>
      <c r="F16" s="18">
        <v>2155</v>
      </c>
      <c r="G16" s="18">
        <v>2319</v>
      </c>
      <c r="H16" s="18">
        <v>25</v>
      </c>
      <c r="I16" s="62">
        <f t="shared" si="0"/>
        <v>25</v>
      </c>
      <c r="J16" s="62" t="str">
        <f t="shared" si="1"/>
        <v>Oakland, California</v>
      </c>
      <c r="K16" s="45">
        <f t="shared" si="2"/>
        <v>77.75</v>
      </c>
    </row>
    <row r="17" spans="1:11" x14ac:dyDescent="0.25">
      <c r="A17" s="18" t="s">
        <v>55</v>
      </c>
      <c r="B17" s="18" t="s">
        <v>47</v>
      </c>
      <c r="C17" s="19" t="s">
        <v>56</v>
      </c>
      <c r="E17" s="18">
        <v>813</v>
      </c>
      <c r="F17" s="18">
        <v>2183</v>
      </c>
      <c r="G17" s="18">
        <v>2329</v>
      </c>
      <c r="H17" s="18">
        <v>21</v>
      </c>
      <c r="I17" s="62">
        <f t="shared" si="0"/>
        <v>21</v>
      </c>
      <c r="J17" s="62" t="str">
        <f t="shared" si="1"/>
        <v>Oakland, California</v>
      </c>
      <c r="K17" s="45">
        <f t="shared" si="2"/>
        <v>75</v>
      </c>
    </row>
    <row r="18" spans="1:11" x14ac:dyDescent="0.25">
      <c r="A18" s="18" t="s">
        <v>57</v>
      </c>
      <c r="B18" s="18" t="s">
        <v>47</v>
      </c>
      <c r="C18" s="19" t="s">
        <v>58</v>
      </c>
      <c r="E18" s="18">
        <v>759</v>
      </c>
      <c r="F18" s="18">
        <v>2129</v>
      </c>
      <c r="G18" s="18">
        <v>2339</v>
      </c>
      <c r="H18" s="18">
        <v>41</v>
      </c>
      <c r="I18" s="62">
        <f t="shared" si="0"/>
        <v>41</v>
      </c>
      <c r="J18" s="62" t="str">
        <f t="shared" si="1"/>
        <v>Oakland, California</v>
      </c>
      <c r="K18" s="45">
        <f t="shared" si="2"/>
        <v>127.50999999999999</v>
      </c>
    </row>
    <row r="19" spans="1:11" x14ac:dyDescent="0.25">
      <c r="A19" s="18" t="s">
        <v>59</v>
      </c>
      <c r="B19" s="18" t="s">
        <v>47</v>
      </c>
      <c r="C19" s="19" t="s">
        <v>60</v>
      </c>
      <c r="E19" s="18">
        <v>816</v>
      </c>
      <c r="F19" s="18">
        <v>2186</v>
      </c>
      <c r="G19" s="18">
        <v>2306</v>
      </c>
      <c r="H19" s="18">
        <v>20</v>
      </c>
      <c r="I19" s="62">
        <f t="shared" si="0"/>
        <v>20</v>
      </c>
      <c r="J19" s="62" t="str">
        <f t="shared" si="1"/>
        <v>Oakland, California</v>
      </c>
      <c r="K19" s="45">
        <f t="shared" si="2"/>
        <v>75</v>
      </c>
    </row>
    <row r="20" spans="1:11" x14ac:dyDescent="0.25">
      <c r="A20" s="18" t="s">
        <v>61</v>
      </c>
      <c r="B20" s="18" t="s">
        <v>47</v>
      </c>
      <c r="C20" s="19" t="s">
        <v>62</v>
      </c>
      <c r="E20" s="18">
        <v>1162</v>
      </c>
      <c r="F20" s="18">
        <v>2063</v>
      </c>
      <c r="G20" s="18">
        <v>2034</v>
      </c>
      <c r="H20" s="18">
        <v>404</v>
      </c>
      <c r="I20" s="62">
        <f t="shared" si="0"/>
        <v>404</v>
      </c>
      <c r="J20" s="62" t="str">
        <f t="shared" si="1"/>
        <v>Oakland, California</v>
      </c>
      <c r="K20" s="45">
        <f t="shared" si="2"/>
        <v>1256.44</v>
      </c>
    </row>
    <row r="21" spans="1:11" x14ac:dyDescent="0.25">
      <c r="A21" s="18" t="s">
        <v>63</v>
      </c>
      <c r="B21" s="18" t="s">
        <v>47</v>
      </c>
      <c r="C21" s="19" t="s">
        <v>64</v>
      </c>
      <c r="E21" s="18">
        <v>1156</v>
      </c>
      <c r="F21" s="18">
        <v>2071</v>
      </c>
      <c r="G21" s="18">
        <v>2042</v>
      </c>
      <c r="H21" s="18">
        <v>398</v>
      </c>
      <c r="I21" s="62">
        <f t="shared" si="0"/>
        <v>398</v>
      </c>
      <c r="J21" s="62" t="str">
        <f t="shared" si="1"/>
        <v>Oakland, California</v>
      </c>
      <c r="K21" s="45">
        <f t="shared" si="2"/>
        <v>1237.78</v>
      </c>
    </row>
    <row r="22" spans="1:11" x14ac:dyDescent="0.25">
      <c r="A22" s="18" t="s">
        <v>65</v>
      </c>
      <c r="B22" s="18" t="s">
        <v>47</v>
      </c>
      <c r="C22" s="19" t="s">
        <v>66</v>
      </c>
      <c r="E22" s="18">
        <v>822</v>
      </c>
      <c r="F22" s="18">
        <v>2158</v>
      </c>
      <c r="G22" s="18">
        <v>2248</v>
      </c>
      <c r="H22" s="18">
        <v>82</v>
      </c>
      <c r="I22" s="62">
        <f t="shared" si="0"/>
        <v>82</v>
      </c>
      <c r="J22" s="62" t="str">
        <f t="shared" si="1"/>
        <v>Oakland, California</v>
      </c>
      <c r="K22" s="45">
        <f t="shared" si="2"/>
        <v>255.01999999999998</v>
      </c>
    </row>
    <row r="23" spans="1:11" x14ac:dyDescent="0.25">
      <c r="A23" s="18" t="s">
        <v>67</v>
      </c>
      <c r="B23" s="18" t="s">
        <v>47</v>
      </c>
      <c r="C23" s="19" t="s">
        <v>68</v>
      </c>
      <c r="E23" s="18">
        <v>834</v>
      </c>
      <c r="F23" s="18">
        <v>2204</v>
      </c>
      <c r="G23" s="18">
        <v>2290</v>
      </c>
      <c r="H23" s="18">
        <v>44</v>
      </c>
      <c r="I23" s="62">
        <f t="shared" si="0"/>
        <v>44</v>
      </c>
      <c r="J23" s="62" t="str">
        <f t="shared" si="1"/>
        <v>Oakland, California</v>
      </c>
      <c r="K23" s="45">
        <f t="shared" si="2"/>
        <v>136.84</v>
      </c>
    </row>
    <row r="24" spans="1:11" x14ac:dyDescent="0.25">
      <c r="A24" s="18" t="s">
        <v>69</v>
      </c>
      <c r="B24" s="18" t="s">
        <v>47</v>
      </c>
      <c r="C24" s="19" t="s">
        <v>70</v>
      </c>
      <c r="E24" s="18">
        <v>835</v>
      </c>
      <c r="F24" s="18">
        <v>2205</v>
      </c>
      <c r="G24" s="18">
        <v>2293</v>
      </c>
      <c r="H24" s="18">
        <v>44</v>
      </c>
      <c r="I24" s="62">
        <f t="shared" si="0"/>
        <v>44</v>
      </c>
      <c r="J24" s="62" t="str">
        <f t="shared" si="1"/>
        <v>Oakland, California</v>
      </c>
      <c r="K24" s="45">
        <f t="shared" si="2"/>
        <v>136.84</v>
      </c>
    </row>
    <row r="25" spans="1:11" x14ac:dyDescent="0.25">
      <c r="A25" s="18" t="s">
        <v>71</v>
      </c>
      <c r="B25" s="18" t="s">
        <v>47</v>
      </c>
      <c r="C25" s="19" t="s">
        <v>72</v>
      </c>
      <c r="E25" s="18">
        <v>1143</v>
      </c>
      <c r="F25" s="18">
        <v>2092</v>
      </c>
      <c r="G25" s="18">
        <v>2062</v>
      </c>
      <c r="H25" s="18">
        <v>385</v>
      </c>
      <c r="I25" s="62">
        <f t="shared" si="0"/>
        <v>385</v>
      </c>
      <c r="J25" s="62" t="str">
        <f t="shared" si="1"/>
        <v>Oakland, California</v>
      </c>
      <c r="K25" s="45">
        <f t="shared" si="2"/>
        <v>1197.3499999999999</v>
      </c>
    </row>
    <row r="26" spans="1:11" x14ac:dyDescent="0.25">
      <c r="A26" s="18" t="s">
        <v>73</v>
      </c>
      <c r="B26" s="18" t="s">
        <v>47</v>
      </c>
      <c r="C26" s="19" t="s">
        <v>74</v>
      </c>
      <c r="E26" s="18">
        <v>773</v>
      </c>
      <c r="F26" s="18">
        <v>2143</v>
      </c>
      <c r="G26" s="18">
        <v>2328</v>
      </c>
      <c r="H26" s="18">
        <v>25</v>
      </c>
      <c r="I26" s="62">
        <f t="shared" si="0"/>
        <v>25</v>
      </c>
      <c r="J26" s="62" t="str">
        <f t="shared" si="1"/>
        <v>Oakland, California</v>
      </c>
      <c r="K26" s="45">
        <f t="shared" si="2"/>
        <v>77.75</v>
      </c>
    </row>
    <row r="27" spans="1:11" x14ac:dyDescent="0.25">
      <c r="A27" s="18" t="s">
        <v>75</v>
      </c>
      <c r="B27" s="18" t="s">
        <v>76</v>
      </c>
      <c r="C27" s="19" t="s">
        <v>77</v>
      </c>
      <c r="E27" s="18">
        <v>1332</v>
      </c>
      <c r="F27" s="18">
        <v>1045</v>
      </c>
      <c r="G27" s="18">
        <v>1318</v>
      </c>
      <c r="H27" s="18">
        <v>1260</v>
      </c>
      <c r="I27" s="62">
        <f t="shared" si="0"/>
        <v>1045</v>
      </c>
      <c r="J27" s="62" t="str">
        <f t="shared" si="1"/>
        <v>Milwaukee, Wisconsin</v>
      </c>
      <c r="K27" s="45">
        <f t="shared" si="2"/>
        <v>3249.95</v>
      </c>
    </row>
    <row r="28" spans="1:11" x14ac:dyDescent="0.25">
      <c r="A28" s="18" t="s">
        <v>78</v>
      </c>
      <c r="B28" s="18" t="s">
        <v>76</v>
      </c>
      <c r="C28" s="19" t="s">
        <v>79</v>
      </c>
      <c r="E28" s="18">
        <v>1388</v>
      </c>
      <c r="F28" s="18">
        <v>1114</v>
      </c>
      <c r="G28" s="18">
        <v>1312</v>
      </c>
      <c r="H28" s="18">
        <v>1316</v>
      </c>
      <c r="I28" s="62">
        <f t="shared" si="0"/>
        <v>1114</v>
      </c>
      <c r="J28" s="62" t="str">
        <f t="shared" si="1"/>
        <v>Milwaukee, Wisconsin</v>
      </c>
      <c r="K28" s="45">
        <f t="shared" si="2"/>
        <v>3464.54</v>
      </c>
    </row>
    <row r="29" spans="1:11" x14ac:dyDescent="0.25">
      <c r="A29" s="18" t="s">
        <v>80</v>
      </c>
      <c r="B29" s="18" t="s">
        <v>76</v>
      </c>
      <c r="C29" s="19" t="s">
        <v>81</v>
      </c>
      <c r="E29" s="18">
        <v>1318</v>
      </c>
      <c r="F29" s="18">
        <v>1043</v>
      </c>
      <c r="G29" s="18">
        <v>1328</v>
      </c>
      <c r="H29" s="18">
        <v>1246</v>
      </c>
      <c r="I29" s="62">
        <f t="shared" si="0"/>
        <v>1043</v>
      </c>
      <c r="J29" s="62" t="str">
        <f t="shared" si="1"/>
        <v>Milwaukee, Wisconsin</v>
      </c>
      <c r="K29" s="45">
        <f t="shared" si="2"/>
        <v>3243.73</v>
      </c>
    </row>
    <row r="30" spans="1:11" x14ac:dyDescent="0.25">
      <c r="A30" s="18" t="s">
        <v>82</v>
      </c>
      <c r="B30" s="18" t="s">
        <v>83</v>
      </c>
      <c r="C30" s="19" t="s">
        <v>84</v>
      </c>
      <c r="E30" s="18">
        <v>2067</v>
      </c>
      <c r="F30" s="18">
        <v>93</v>
      </c>
      <c r="G30" s="18">
        <v>663</v>
      </c>
      <c r="H30" s="18">
        <v>2124</v>
      </c>
      <c r="I30" s="62">
        <f t="shared" si="0"/>
        <v>93</v>
      </c>
      <c r="J30" s="62" t="str">
        <f t="shared" si="1"/>
        <v>Milwaukee, Wisconsin</v>
      </c>
      <c r="K30" s="45">
        <f t="shared" si="2"/>
        <v>289.22999999999996</v>
      </c>
    </row>
    <row r="31" spans="1:11" x14ac:dyDescent="0.25">
      <c r="A31" s="18" t="s">
        <v>85</v>
      </c>
      <c r="B31" s="18" t="s">
        <v>83</v>
      </c>
      <c r="C31" s="19" t="s">
        <v>86</v>
      </c>
      <c r="E31" s="18">
        <v>2052</v>
      </c>
      <c r="F31" s="18">
        <v>126</v>
      </c>
      <c r="G31" s="18">
        <v>671</v>
      </c>
      <c r="H31" s="18">
        <v>2099</v>
      </c>
      <c r="I31" s="62">
        <f t="shared" si="0"/>
        <v>126</v>
      </c>
      <c r="J31" s="62" t="str">
        <f t="shared" si="1"/>
        <v>Milwaukee, Wisconsin</v>
      </c>
      <c r="K31" s="45">
        <f t="shared" si="2"/>
        <v>391.85999999999996</v>
      </c>
    </row>
    <row r="32" spans="1:11" x14ac:dyDescent="0.25">
      <c r="A32" s="18" t="s">
        <v>87</v>
      </c>
      <c r="B32" s="18" t="s">
        <v>88</v>
      </c>
      <c r="C32" s="19" t="s">
        <v>89</v>
      </c>
      <c r="E32" s="18">
        <v>2254</v>
      </c>
      <c r="F32" s="18">
        <v>387</v>
      </c>
      <c r="G32" s="18">
        <v>343</v>
      </c>
      <c r="H32" s="18">
        <v>2214</v>
      </c>
      <c r="I32" s="62">
        <f t="shared" si="0"/>
        <v>343</v>
      </c>
      <c r="J32" s="62" t="str">
        <f t="shared" si="1"/>
        <v>Birmingham, Alabama</v>
      </c>
      <c r="K32" s="45">
        <f t="shared" si="2"/>
        <v>1066.73</v>
      </c>
    </row>
    <row r="33" spans="1:11" x14ac:dyDescent="0.25">
      <c r="A33" s="18" t="s">
        <v>90</v>
      </c>
      <c r="B33" s="18" t="s">
        <v>88</v>
      </c>
      <c r="C33" s="19" t="s">
        <v>91</v>
      </c>
      <c r="E33" s="18">
        <v>2233</v>
      </c>
      <c r="F33" s="18">
        <v>262</v>
      </c>
      <c r="G33" s="18">
        <v>597</v>
      </c>
      <c r="H33" s="18">
        <v>2269</v>
      </c>
      <c r="I33" s="62">
        <f t="shared" si="0"/>
        <v>262</v>
      </c>
      <c r="J33" s="62" t="str">
        <f t="shared" si="1"/>
        <v>Milwaukee, Wisconsin</v>
      </c>
      <c r="K33" s="45">
        <f t="shared" si="2"/>
        <v>814.81999999999994</v>
      </c>
    </row>
    <row r="34" spans="1:11" x14ac:dyDescent="0.25">
      <c r="A34" s="18" t="s">
        <v>92</v>
      </c>
      <c r="B34" s="18" t="s">
        <v>93</v>
      </c>
      <c r="C34" s="19" t="s">
        <v>94</v>
      </c>
      <c r="E34" s="18">
        <v>1832</v>
      </c>
      <c r="F34" s="18">
        <v>244</v>
      </c>
      <c r="G34" s="18">
        <v>782</v>
      </c>
      <c r="H34" s="18">
        <v>1919</v>
      </c>
      <c r="I34" s="62">
        <f t="shared" si="0"/>
        <v>244</v>
      </c>
      <c r="J34" s="62" t="str">
        <f t="shared" si="1"/>
        <v>Milwaukee, Wisconsin</v>
      </c>
      <c r="K34" s="45">
        <f t="shared" si="2"/>
        <v>758.83999999999992</v>
      </c>
    </row>
    <row r="35" spans="1:11" x14ac:dyDescent="0.25">
      <c r="A35" s="18" t="s">
        <v>95</v>
      </c>
      <c r="B35" s="18" t="s">
        <v>96</v>
      </c>
      <c r="C35" s="19" t="s">
        <v>97</v>
      </c>
      <c r="E35" s="18">
        <v>1842</v>
      </c>
      <c r="F35" s="18">
        <v>576</v>
      </c>
      <c r="G35" s="18">
        <v>695</v>
      </c>
      <c r="H35" s="18">
        <v>1802</v>
      </c>
      <c r="I35" s="62">
        <f t="shared" si="0"/>
        <v>576</v>
      </c>
      <c r="J35" s="62" t="str">
        <f t="shared" si="1"/>
        <v>Milwaukee, Wisconsin</v>
      </c>
      <c r="K35" s="45">
        <f t="shared" si="2"/>
        <v>1791.36</v>
      </c>
    </row>
    <row r="36" spans="1:11" x14ac:dyDescent="0.25">
      <c r="A36" s="18" t="s">
        <v>98</v>
      </c>
      <c r="B36" s="18" t="s">
        <v>96</v>
      </c>
      <c r="C36" s="19" t="s">
        <v>99</v>
      </c>
      <c r="E36" s="18">
        <v>1848</v>
      </c>
      <c r="F36" s="18">
        <v>630</v>
      </c>
      <c r="G36" s="18">
        <v>748</v>
      </c>
      <c r="H36" s="18">
        <v>1776</v>
      </c>
      <c r="I36" s="62">
        <f t="shared" si="0"/>
        <v>630</v>
      </c>
      <c r="J36" s="62" t="str">
        <f t="shared" si="1"/>
        <v>Milwaukee, Wisconsin</v>
      </c>
      <c r="K36" s="45">
        <f t="shared" si="2"/>
        <v>1959.3</v>
      </c>
    </row>
    <row r="37" spans="1:11" x14ac:dyDescent="0.25">
      <c r="A37" s="18" t="s">
        <v>100</v>
      </c>
      <c r="B37" s="18" t="s">
        <v>101</v>
      </c>
      <c r="C37" s="19" t="s">
        <v>102</v>
      </c>
      <c r="E37" s="18">
        <v>2406</v>
      </c>
      <c r="F37" s="18">
        <v>468</v>
      </c>
      <c r="G37" s="18">
        <v>411</v>
      </c>
      <c r="H37" s="18">
        <v>2383</v>
      </c>
      <c r="I37" s="62">
        <f t="shared" si="0"/>
        <v>411</v>
      </c>
      <c r="J37" s="62" t="str">
        <f t="shared" si="1"/>
        <v>Birmingham, Alabama</v>
      </c>
      <c r="K37" s="45">
        <f t="shared" si="2"/>
        <v>1278.21</v>
      </c>
    </row>
    <row r="38" spans="1:11" x14ac:dyDescent="0.25">
      <c r="A38" s="18" t="s">
        <v>103</v>
      </c>
      <c r="B38" s="18" t="s">
        <v>101</v>
      </c>
      <c r="C38" s="19" t="s">
        <v>104</v>
      </c>
      <c r="E38" s="18">
        <v>2340</v>
      </c>
      <c r="F38" s="18">
        <v>401</v>
      </c>
      <c r="G38" s="18">
        <v>363</v>
      </c>
      <c r="H38" s="18">
        <v>2317</v>
      </c>
      <c r="I38" s="62">
        <f t="shared" si="0"/>
        <v>363</v>
      </c>
      <c r="J38" s="62" t="str">
        <f t="shared" si="1"/>
        <v>Birmingham, Alabama</v>
      </c>
      <c r="K38" s="45">
        <f t="shared" si="2"/>
        <v>1128.93</v>
      </c>
    </row>
    <row r="39" spans="1:11" x14ac:dyDescent="0.25">
      <c r="A39" s="18" t="s">
        <v>105</v>
      </c>
      <c r="B39" s="18" t="s">
        <v>106</v>
      </c>
      <c r="C39" s="19" t="s">
        <v>107</v>
      </c>
      <c r="E39" s="18">
        <v>2617</v>
      </c>
      <c r="F39" s="18">
        <v>1016</v>
      </c>
      <c r="G39" s="18">
        <v>344</v>
      </c>
      <c r="H39" s="18">
        <v>2265</v>
      </c>
      <c r="I39" s="62">
        <f t="shared" si="0"/>
        <v>344</v>
      </c>
      <c r="J39" s="62" t="str">
        <f t="shared" si="1"/>
        <v>Birmingham, Alabama</v>
      </c>
      <c r="K39" s="45">
        <f t="shared" si="2"/>
        <v>1069.8399999999999</v>
      </c>
    </row>
    <row r="40" spans="1:11" x14ac:dyDescent="0.25">
      <c r="A40" s="18" t="s">
        <v>108</v>
      </c>
      <c r="B40" s="18" t="s">
        <v>109</v>
      </c>
      <c r="C40" s="19" t="s">
        <v>110</v>
      </c>
      <c r="E40" s="18">
        <v>2771</v>
      </c>
      <c r="F40" s="18">
        <v>800</v>
      </c>
      <c r="G40" s="18">
        <v>781</v>
      </c>
      <c r="H40" s="18">
        <v>2808</v>
      </c>
      <c r="I40" s="62">
        <f t="shared" si="0"/>
        <v>781</v>
      </c>
      <c r="J40" s="62" t="str">
        <f t="shared" si="1"/>
        <v>Birmingham, Alabama</v>
      </c>
      <c r="K40" s="45">
        <f t="shared" si="2"/>
        <v>2428.91</v>
      </c>
    </row>
    <row r="41" spans="1:11" x14ac:dyDescent="0.25">
      <c r="A41" s="18" t="s">
        <v>111</v>
      </c>
      <c r="B41" s="18" t="s">
        <v>112</v>
      </c>
      <c r="C41" s="19" t="s">
        <v>113</v>
      </c>
      <c r="E41" s="18">
        <v>2314</v>
      </c>
      <c r="F41" s="18">
        <v>343</v>
      </c>
      <c r="G41" s="18">
        <v>710</v>
      </c>
      <c r="H41" s="18">
        <v>2351</v>
      </c>
      <c r="I41" s="62">
        <f t="shared" si="0"/>
        <v>343</v>
      </c>
      <c r="J41" s="62" t="str">
        <f t="shared" si="1"/>
        <v>Milwaukee, Wisconsin</v>
      </c>
      <c r="K41" s="45">
        <f t="shared" si="2"/>
        <v>1066.73</v>
      </c>
    </row>
    <row r="42" spans="1:11" x14ac:dyDescent="0.25">
      <c r="A42" s="18" t="s">
        <v>114</v>
      </c>
      <c r="B42" s="18" t="s">
        <v>112</v>
      </c>
      <c r="C42" s="19" t="s">
        <v>115</v>
      </c>
      <c r="E42" s="18">
        <v>2352</v>
      </c>
      <c r="F42" s="18">
        <v>381</v>
      </c>
      <c r="G42" s="18">
        <v>722</v>
      </c>
      <c r="H42" s="18">
        <v>2389</v>
      </c>
      <c r="I42" s="62">
        <f t="shared" si="0"/>
        <v>381</v>
      </c>
      <c r="J42" s="62" t="str">
        <f t="shared" si="1"/>
        <v>Milwaukee, Wisconsin</v>
      </c>
      <c r="K42" s="45">
        <f t="shared" si="2"/>
        <v>1184.9099999999999</v>
      </c>
    </row>
    <row r="43" spans="1:11" x14ac:dyDescent="0.25">
      <c r="A43" s="18" t="s">
        <v>116</v>
      </c>
      <c r="B43" s="18" t="s">
        <v>117</v>
      </c>
      <c r="C43" s="19" t="s">
        <v>118</v>
      </c>
      <c r="E43" s="18">
        <v>1668</v>
      </c>
      <c r="F43" s="18">
        <v>332</v>
      </c>
      <c r="G43" s="18">
        <v>1069</v>
      </c>
      <c r="H43" s="18">
        <v>1970</v>
      </c>
      <c r="I43" s="62">
        <f t="shared" si="0"/>
        <v>332</v>
      </c>
      <c r="J43" s="62" t="str">
        <f t="shared" si="1"/>
        <v>Milwaukee, Wisconsin</v>
      </c>
      <c r="K43" s="45">
        <f t="shared" si="2"/>
        <v>1032.52</v>
      </c>
    </row>
    <row r="44" spans="1:11" x14ac:dyDescent="0.25">
      <c r="A44" s="18" t="s">
        <v>95</v>
      </c>
      <c r="B44" s="18" t="s">
        <v>119</v>
      </c>
      <c r="C44" s="19" t="s">
        <v>120</v>
      </c>
      <c r="E44" s="18">
        <v>1840</v>
      </c>
      <c r="F44" s="18">
        <v>569</v>
      </c>
      <c r="G44" s="18">
        <v>688</v>
      </c>
      <c r="H44" s="18">
        <v>1800</v>
      </c>
      <c r="I44" s="62">
        <f t="shared" si="0"/>
        <v>569</v>
      </c>
      <c r="J44" s="62" t="str">
        <f t="shared" si="1"/>
        <v>Milwaukee, Wisconsin</v>
      </c>
      <c r="K44" s="45">
        <f t="shared" si="2"/>
        <v>1769.59</v>
      </c>
    </row>
    <row r="45" spans="1:11" x14ac:dyDescent="0.25">
      <c r="A45" s="18" t="s">
        <v>121</v>
      </c>
      <c r="B45" s="18" t="s">
        <v>119</v>
      </c>
      <c r="C45" s="19" t="s">
        <v>122</v>
      </c>
      <c r="E45" s="18">
        <v>2089</v>
      </c>
      <c r="F45" s="18">
        <v>375</v>
      </c>
      <c r="G45" s="18">
        <v>500</v>
      </c>
      <c r="H45" s="18">
        <v>2050</v>
      </c>
      <c r="I45" s="62">
        <f t="shared" si="0"/>
        <v>375</v>
      </c>
      <c r="J45" s="62" t="str">
        <f t="shared" si="1"/>
        <v>Milwaukee, Wisconsin</v>
      </c>
      <c r="K45" s="45">
        <f t="shared" si="2"/>
        <v>1166.25</v>
      </c>
    </row>
    <row r="46" spans="1:11" x14ac:dyDescent="0.25">
      <c r="A46" s="18" t="s">
        <v>123</v>
      </c>
      <c r="B46" s="18" t="s">
        <v>124</v>
      </c>
      <c r="C46" s="19" t="s">
        <v>125</v>
      </c>
      <c r="E46" s="18">
        <v>1659</v>
      </c>
      <c r="F46" s="18">
        <v>508</v>
      </c>
      <c r="G46" s="18">
        <v>869</v>
      </c>
      <c r="H46" s="18">
        <v>1661</v>
      </c>
      <c r="I46" s="62">
        <f t="shared" si="0"/>
        <v>508</v>
      </c>
      <c r="J46" s="62" t="str">
        <f t="shared" si="1"/>
        <v>Milwaukee, Wisconsin</v>
      </c>
      <c r="K46" s="45">
        <f t="shared" si="2"/>
        <v>1579.8799999999999</v>
      </c>
    </row>
    <row r="47" spans="1:11" x14ac:dyDescent="0.25">
      <c r="A47" s="18" t="s">
        <v>126</v>
      </c>
      <c r="B47" s="18" t="s">
        <v>127</v>
      </c>
      <c r="C47" s="19" t="s">
        <v>128</v>
      </c>
      <c r="E47" s="18">
        <v>1145</v>
      </c>
      <c r="F47" s="18">
        <v>1806</v>
      </c>
      <c r="G47" s="18">
        <v>1799</v>
      </c>
      <c r="H47" s="18">
        <v>568</v>
      </c>
      <c r="I47" s="62">
        <f t="shared" si="0"/>
        <v>568</v>
      </c>
      <c r="J47" s="62" t="str">
        <f t="shared" si="1"/>
        <v>Oakland, California</v>
      </c>
      <c r="K47" s="45">
        <f t="shared" si="2"/>
        <v>1766.48</v>
      </c>
    </row>
    <row r="48" spans="1:11" x14ac:dyDescent="0.25">
      <c r="A48" s="18" t="s">
        <v>129</v>
      </c>
      <c r="B48" s="18" t="s">
        <v>127</v>
      </c>
      <c r="C48" s="19" t="s">
        <v>130</v>
      </c>
      <c r="E48" s="18">
        <v>738</v>
      </c>
      <c r="F48" s="18">
        <v>1964</v>
      </c>
      <c r="G48" s="18">
        <v>2267</v>
      </c>
      <c r="H48" s="18">
        <v>256</v>
      </c>
      <c r="I48" s="62">
        <f t="shared" si="0"/>
        <v>256</v>
      </c>
      <c r="J48" s="62" t="str">
        <f t="shared" si="1"/>
        <v>Oakland, California</v>
      </c>
      <c r="K48" s="45">
        <f t="shared" si="2"/>
        <v>796.16</v>
      </c>
    </row>
    <row r="49" spans="1:11" x14ac:dyDescent="0.25">
      <c r="A49" s="18" t="s">
        <v>131</v>
      </c>
      <c r="B49" s="18" t="s">
        <v>132</v>
      </c>
      <c r="C49" s="19" t="s">
        <v>133</v>
      </c>
      <c r="E49" s="18">
        <v>3087</v>
      </c>
      <c r="F49" s="18">
        <v>1116</v>
      </c>
      <c r="G49" s="18">
        <v>1214</v>
      </c>
      <c r="H49" s="18">
        <v>3124</v>
      </c>
      <c r="I49" s="62">
        <f t="shared" si="0"/>
        <v>1116</v>
      </c>
      <c r="J49" s="62" t="str">
        <f t="shared" si="1"/>
        <v>Milwaukee, Wisconsin</v>
      </c>
      <c r="K49" s="45">
        <f t="shared" si="2"/>
        <v>3470.7599999999998</v>
      </c>
    </row>
    <row r="50" spans="1:11" x14ac:dyDescent="0.25">
      <c r="A50" s="18" t="s">
        <v>134</v>
      </c>
      <c r="B50" s="18" t="s">
        <v>135</v>
      </c>
      <c r="C50" s="19" t="s">
        <v>136</v>
      </c>
      <c r="E50" s="18">
        <v>2857</v>
      </c>
      <c r="F50" s="18">
        <v>886</v>
      </c>
      <c r="G50" s="18">
        <v>950</v>
      </c>
      <c r="H50" s="18">
        <v>2894</v>
      </c>
      <c r="I50" s="62">
        <f t="shared" si="0"/>
        <v>886</v>
      </c>
      <c r="J50" s="62" t="str">
        <f t="shared" si="1"/>
        <v>Milwaukee, Wisconsin</v>
      </c>
      <c r="K50" s="45">
        <f t="shared" si="2"/>
        <v>2755.46</v>
      </c>
    </row>
    <row r="51" spans="1:11" x14ac:dyDescent="0.25">
      <c r="A51" s="18" t="s">
        <v>137</v>
      </c>
      <c r="B51" s="18" t="s">
        <v>135</v>
      </c>
      <c r="C51" s="19" t="s">
        <v>138</v>
      </c>
      <c r="E51" s="18">
        <v>2860</v>
      </c>
      <c r="F51" s="18">
        <v>889</v>
      </c>
      <c r="G51" s="18">
        <v>959</v>
      </c>
      <c r="H51" s="18">
        <v>2896</v>
      </c>
      <c r="I51" s="62">
        <f t="shared" si="0"/>
        <v>889</v>
      </c>
      <c r="J51" s="62" t="str">
        <f t="shared" si="1"/>
        <v>Milwaukee, Wisconsin</v>
      </c>
      <c r="K51" s="45">
        <f t="shared" si="2"/>
        <v>2764.79</v>
      </c>
    </row>
    <row r="52" spans="1:11" x14ac:dyDescent="0.25">
      <c r="A52" s="18" t="s">
        <v>139</v>
      </c>
      <c r="B52" s="18" t="s">
        <v>135</v>
      </c>
      <c r="C52" s="19" t="s">
        <v>140</v>
      </c>
      <c r="E52" s="18">
        <v>2852</v>
      </c>
      <c r="F52" s="18">
        <v>881</v>
      </c>
      <c r="G52" s="18">
        <v>952</v>
      </c>
      <c r="H52" s="18">
        <v>2889</v>
      </c>
      <c r="I52" s="62">
        <f t="shared" si="0"/>
        <v>881</v>
      </c>
      <c r="J52" s="62" t="str">
        <f t="shared" si="1"/>
        <v>Milwaukee, Wisconsin</v>
      </c>
      <c r="K52" s="45">
        <f t="shared" si="2"/>
        <v>2739.91</v>
      </c>
    </row>
    <row r="53" spans="1:11" x14ac:dyDescent="0.25">
      <c r="A53" s="18" t="s">
        <v>141</v>
      </c>
      <c r="B53" s="18" t="s">
        <v>141</v>
      </c>
      <c r="C53" s="19" t="s">
        <v>142</v>
      </c>
      <c r="E53" s="18">
        <v>2863</v>
      </c>
      <c r="F53" s="18">
        <v>892</v>
      </c>
      <c r="G53" s="18">
        <v>964</v>
      </c>
      <c r="H53" s="18">
        <v>2900</v>
      </c>
      <c r="I53" s="62">
        <f t="shared" si="0"/>
        <v>892</v>
      </c>
      <c r="J53" s="62" t="str">
        <f t="shared" si="1"/>
        <v>Milwaukee, Wisconsin</v>
      </c>
      <c r="K53" s="45">
        <f t="shared" si="2"/>
        <v>2774.12</v>
      </c>
    </row>
    <row r="54" spans="1:11" x14ac:dyDescent="0.25">
      <c r="A54" s="18" t="s">
        <v>143</v>
      </c>
      <c r="B54" s="18" t="s">
        <v>141</v>
      </c>
      <c r="C54" s="19" t="s">
        <v>144</v>
      </c>
      <c r="E54" s="18">
        <v>2873</v>
      </c>
      <c r="F54" s="18">
        <v>902</v>
      </c>
      <c r="G54" s="18">
        <v>980</v>
      </c>
      <c r="H54" s="18">
        <v>2910</v>
      </c>
      <c r="I54" s="62">
        <f t="shared" si="0"/>
        <v>902</v>
      </c>
      <c r="J54" s="62" t="str">
        <f t="shared" si="1"/>
        <v>Milwaukee, Wisconsin</v>
      </c>
      <c r="K54" s="45">
        <f t="shared" si="2"/>
        <v>2805.22</v>
      </c>
    </row>
    <row r="55" spans="1:11" x14ac:dyDescent="0.25">
      <c r="A55" s="18" t="s">
        <v>145</v>
      </c>
      <c r="B55" s="18" t="s">
        <v>146</v>
      </c>
      <c r="C55" s="19" t="s">
        <v>147</v>
      </c>
      <c r="E55" s="18">
        <v>2876</v>
      </c>
      <c r="F55" s="18">
        <v>905</v>
      </c>
      <c r="G55" s="18">
        <v>543</v>
      </c>
      <c r="H55" s="18">
        <v>2829</v>
      </c>
      <c r="I55" s="62">
        <f t="shared" si="0"/>
        <v>543</v>
      </c>
      <c r="J55" s="62" t="str">
        <f t="shared" si="1"/>
        <v>Birmingham, Alabama</v>
      </c>
      <c r="K55" s="45">
        <f t="shared" si="2"/>
        <v>1688.73</v>
      </c>
    </row>
    <row r="56" spans="1:11" x14ac:dyDescent="0.25">
      <c r="A56" s="18" t="s">
        <v>148</v>
      </c>
      <c r="B56" s="18" t="s">
        <v>146</v>
      </c>
      <c r="C56" s="19" t="s">
        <v>149</v>
      </c>
      <c r="E56" s="18">
        <v>2856</v>
      </c>
      <c r="F56" s="18">
        <v>885</v>
      </c>
      <c r="G56" s="18">
        <v>531</v>
      </c>
      <c r="H56" s="18">
        <v>2808</v>
      </c>
      <c r="I56" s="62">
        <f t="shared" si="0"/>
        <v>531</v>
      </c>
      <c r="J56" s="62" t="str">
        <f t="shared" si="1"/>
        <v>Birmingham, Alabama</v>
      </c>
      <c r="K56" s="45">
        <f t="shared" si="2"/>
        <v>1651.4099999999999</v>
      </c>
    </row>
    <row r="57" spans="1:11" x14ac:dyDescent="0.25">
      <c r="A57" s="18" t="s">
        <v>150</v>
      </c>
      <c r="B57" s="18" t="s">
        <v>151</v>
      </c>
      <c r="C57" s="19" t="s">
        <v>152</v>
      </c>
      <c r="E57" s="18">
        <v>2327</v>
      </c>
      <c r="F57" s="18">
        <v>389</v>
      </c>
      <c r="G57" s="18">
        <v>468</v>
      </c>
      <c r="H57" s="18">
        <v>2374</v>
      </c>
      <c r="I57" s="62">
        <f t="shared" si="0"/>
        <v>389</v>
      </c>
      <c r="J57" s="62" t="str">
        <f t="shared" si="1"/>
        <v>Milwaukee, Wisconsin</v>
      </c>
      <c r="K57" s="45">
        <f t="shared" si="2"/>
        <v>1209.79</v>
      </c>
    </row>
    <row r="58" spans="1:11" x14ac:dyDescent="0.25">
      <c r="A58" s="18" t="s">
        <v>153</v>
      </c>
      <c r="B58" s="18" t="s">
        <v>151</v>
      </c>
      <c r="C58" s="19" t="s">
        <v>154</v>
      </c>
      <c r="E58" s="18">
        <v>2417</v>
      </c>
      <c r="F58" s="18">
        <v>446</v>
      </c>
      <c r="G58" s="18">
        <v>712</v>
      </c>
      <c r="H58" s="18">
        <v>2453</v>
      </c>
      <c r="I58" s="62">
        <f t="shared" si="0"/>
        <v>446</v>
      </c>
      <c r="J58" s="62" t="str">
        <f t="shared" si="1"/>
        <v>Milwaukee, Wisconsin</v>
      </c>
      <c r="K58" s="45">
        <f t="shared" si="2"/>
        <v>1387.06</v>
      </c>
    </row>
    <row r="59" spans="1:11" x14ac:dyDescent="0.25">
      <c r="A59" s="18" t="s">
        <v>155</v>
      </c>
      <c r="B59" s="18" t="s">
        <v>156</v>
      </c>
      <c r="C59" s="19" t="s">
        <v>157</v>
      </c>
      <c r="E59" s="18">
        <v>2007</v>
      </c>
      <c r="F59" s="18">
        <v>892</v>
      </c>
      <c r="G59" s="18">
        <v>705</v>
      </c>
      <c r="H59" s="18">
        <v>1639</v>
      </c>
      <c r="I59" s="62">
        <f t="shared" si="0"/>
        <v>705</v>
      </c>
      <c r="J59" s="62" t="str">
        <f t="shared" si="1"/>
        <v>Birmingham, Alabama</v>
      </c>
      <c r="K59" s="45">
        <f t="shared" si="2"/>
        <v>2192.5499999999997</v>
      </c>
    </row>
    <row r="60" spans="1:11" x14ac:dyDescent="0.25">
      <c r="A60" s="18" t="s">
        <v>158</v>
      </c>
      <c r="B60" s="18" t="s">
        <v>156</v>
      </c>
      <c r="C60" s="19" t="s">
        <v>159</v>
      </c>
      <c r="E60" s="18">
        <v>2000</v>
      </c>
      <c r="F60" s="18">
        <v>773</v>
      </c>
      <c r="G60" s="18">
        <v>639</v>
      </c>
      <c r="H60" s="18">
        <v>1718</v>
      </c>
      <c r="I60" s="62">
        <f t="shared" si="0"/>
        <v>639</v>
      </c>
      <c r="J60" s="62" t="str">
        <f t="shared" si="1"/>
        <v>Birmingham, Alabama</v>
      </c>
      <c r="K60" s="45">
        <f t="shared" si="2"/>
        <v>1987.29</v>
      </c>
    </row>
    <row r="61" spans="1:11" x14ac:dyDescent="0.25">
      <c r="A61" s="18" t="s">
        <v>160</v>
      </c>
      <c r="B61" s="18" t="s">
        <v>161</v>
      </c>
      <c r="C61" s="19" t="s">
        <v>162</v>
      </c>
      <c r="E61" s="18">
        <v>278</v>
      </c>
      <c r="F61" s="18">
        <v>2173</v>
      </c>
      <c r="G61" s="18">
        <v>2494</v>
      </c>
      <c r="H61" s="18">
        <v>523</v>
      </c>
      <c r="I61" s="62">
        <f t="shared" si="0"/>
        <v>278</v>
      </c>
      <c r="J61" s="62" t="str">
        <f t="shared" si="1"/>
        <v>Seattle, Washington</v>
      </c>
      <c r="K61" s="45">
        <f t="shared" si="2"/>
        <v>864.57999999999993</v>
      </c>
    </row>
    <row r="62" spans="1:11" x14ac:dyDescent="0.25">
      <c r="A62" s="18" t="s">
        <v>163</v>
      </c>
      <c r="B62" s="18" t="s">
        <v>161</v>
      </c>
      <c r="C62" s="19" t="s">
        <v>164</v>
      </c>
      <c r="E62" s="18">
        <v>168</v>
      </c>
      <c r="F62" s="18">
        <v>2065</v>
      </c>
      <c r="G62" s="18">
        <v>2480</v>
      </c>
      <c r="H62" s="18">
        <v>629</v>
      </c>
      <c r="I62" s="62">
        <f t="shared" si="0"/>
        <v>168</v>
      </c>
      <c r="J62" s="62" t="str">
        <f t="shared" si="1"/>
        <v>Seattle, Washington</v>
      </c>
      <c r="K62" s="45">
        <f t="shared" si="2"/>
        <v>522.48</v>
      </c>
    </row>
    <row r="63" spans="1:11" x14ac:dyDescent="0.25">
      <c r="A63" s="18" t="s">
        <v>165</v>
      </c>
      <c r="B63" s="18" t="s">
        <v>166</v>
      </c>
      <c r="C63" s="19" t="s">
        <v>167</v>
      </c>
      <c r="E63" s="18">
        <v>2832</v>
      </c>
      <c r="F63" s="18">
        <v>861</v>
      </c>
      <c r="G63" s="18">
        <v>878</v>
      </c>
      <c r="H63" s="18">
        <v>2869</v>
      </c>
      <c r="I63" s="62">
        <f t="shared" si="0"/>
        <v>861</v>
      </c>
      <c r="J63" s="62" t="str">
        <f t="shared" si="1"/>
        <v>Milwaukee, Wisconsin</v>
      </c>
      <c r="K63" s="45">
        <f t="shared" si="2"/>
        <v>2677.71</v>
      </c>
    </row>
    <row r="64" spans="1:11" x14ac:dyDescent="0.25">
      <c r="A64" s="18" t="s">
        <v>168</v>
      </c>
      <c r="B64" s="18" t="s">
        <v>166</v>
      </c>
      <c r="C64" s="19" t="s">
        <v>169</v>
      </c>
      <c r="E64" s="18">
        <v>2535</v>
      </c>
      <c r="F64" s="18">
        <v>564</v>
      </c>
      <c r="G64" s="18">
        <v>753</v>
      </c>
      <c r="H64" s="18">
        <v>2572</v>
      </c>
      <c r="I64" s="62">
        <f t="shared" si="0"/>
        <v>564</v>
      </c>
      <c r="J64" s="62" t="str">
        <f t="shared" si="1"/>
        <v>Milwaukee, Wisconsin</v>
      </c>
      <c r="K64" s="45">
        <f t="shared" si="2"/>
        <v>1754.04</v>
      </c>
    </row>
    <row r="65" spans="1:11" x14ac:dyDescent="0.25">
      <c r="A65" s="18" t="s">
        <v>170</v>
      </c>
      <c r="B65" s="18" t="s">
        <v>171</v>
      </c>
      <c r="C65" s="19" t="s">
        <v>172</v>
      </c>
      <c r="E65" s="18">
        <v>3046</v>
      </c>
      <c r="F65" s="18">
        <v>1075</v>
      </c>
      <c r="G65" s="18">
        <v>1153</v>
      </c>
      <c r="H65" s="18">
        <v>3083</v>
      </c>
      <c r="I65" s="62">
        <f t="shared" si="0"/>
        <v>1075</v>
      </c>
      <c r="J65" s="62" t="str">
        <f t="shared" si="1"/>
        <v>Milwaukee, Wisconsin</v>
      </c>
      <c r="K65" s="45">
        <f t="shared" si="2"/>
        <v>3343.25</v>
      </c>
    </row>
    <row r="66" spans="1:11" x14ac:dyDescent="0.25">
      <c r="A66" s="18" t="s">
        <v>173</v>
      </c>
      <c r="B66" s="18" t="s">
        <v>174</v>
      </c>
      <c r="C66" s="19" t="s">
        <v>175</v>
      </c>
      <c r="E66" s="18">
        <v>2835</v>
      </c>
      <c r="F66" s="18">
        <v>903</v>
      </c>
      <c r="G66" s="18">
        <v>362</v>
      </c>
      <c r="H66" s="18">
        <v>2678</v>
      </c>
      <c r="I66" s="62">
        <f t="shared" si="0"/>
        <v>362</v>
      </c>
      <c r="J66" s="62" t="str">
        <f t="shared" si="1"/>
        <v>Birmingham, Alabama</v>
      </c>
      <c r="K66" s="45">
        <f t="shared" si="2"/>
        <v>1125.82</v>
      </c>
    </row>
    <row r="67" spans="1:11" x14ac:dyDescent="0.25">
      <c r="A67" s="18" t="s">
        <v>176</v>
      </c>
      <c r="B67" s="18" t="s">
        <v>177</v>
      </c>
      <c r="C67" s="19" t="s">
        <v>178</v>
      </c>
      <c r="E67" s="18">
        <v>1478</v>
      </c>
      <c r="F67" s="18">
        <v>497</v>
      </c>
      <c r="G67" s="18">
        <v>1053</v>
      </c>
      <c r="H67" s="18">
        <v>1727</v>
      </c>
      <c r="I67" s="62">
        <f t="shared" si="0"/>
        <v>497</v>
      </c>
      <c r="J67" s="62" t="str">
        <f t="shared" si="1"/>
        <v>Milwaukee, Wisconsin</v>
      </c>
      <c r="K67" s="45">
        <f t="shared" si="2"/>
        <v>1545.6699999999998</v>
      </c>
    </row>
    <row r="68" spans="1:11" x14ac:dyDescent="0.25">
      <c r="A68" s="18" t="s">
        <v>179</v>
      </c>
      <c r="B68" s="18" t="s">
        <v>180</v>
      </c>
      <c r="C68" s="19" t="s">
        <v>181</v>
      </c>
      <c r="E68" s="18">
        <v>2359</v>
      </c>
      <c r="F68" s="18">
        <v>561</v>
      </c>
      <c r="G68" s="18">
        <v>232</v>
      </c>
      <c r="H68" s="18">
        <v>2294</v>
      </c>
      <c r="I68" s="62">
        <f t="shared" si="0"/>
        <v>232</v>
      </c>
      <c r="J68" s="62" t="str">
        <f t="shared" si="1"/>
        <v>Birmingham, Alabama</v>
      </c>
      <c r="K68" s="45">
        <f t="shared" si="2"/>
        <v>721.52</v>
      </c>
    </row>
    <row r="69" spans="1:11" x14ac:dyDescent="0.25">
      <c r="A69" s="18" t="s">
        <v>182</v>
      </c>
      <c r="B69" s="18" t="s">
        <v>183</v>
      </c>
      <c r="C69" s="19" t="s">
        <v>184</v>
      </c>
      <c r="E69" s="18">
        <v>2091</v>
      </c>
      <c r="F69" s="18">
        <v>1156</v>
      </c>
      <c r="G69" s="18">
        <v>741</v>
      </c>
      <c r="H69" s="18">
        <v>1744</v>
      </c>
      <c r="I69" s="62">
        <f t="shared" si="0"/>
        <v>741</v>
      </c>
      <c r="J69" s="62" t="str">
        <f t="shared" si="1"/>
        <v>Birmingham, Alabama</v>
      </c>
      <c r="K69" s="45">
        <f t="shared" si="2"/>
        <v>2304.5099999999998</v>
      </c>
    </row>
    <row r="70" spans="1:11" x14ac:dyDescent="0.25">
      <c r="A70" s="18" t="s">
        <v>185</v>
      </c>
      <c r="B70" s="18" t="s">
        <v>183</v>
      </c>
      <c r="C70" s="19" t="s">
        <v>186</v>
      </c>
      <c r="E70" s="18">
        <v>2219</v>
      </c>
      <c r="F70" s="18">
        <v>1432</v>
      </c>
      <c r="G70" s="18">
        <v>978</v>
      </c>
      <c r="H70" s="18">
        <v>1780</v>
      </c>
      <c r="I70" s="62">
        <f t="shared" si="0"/>
        <v>978</v>
      </c>
      <c r="J70" s="62" t="str">
        <f t="shared" si="1"/>
        <v>Birmingham, Alabama</v>
      </c>
      <c r="K70" s="45">
        <f t="shared" si="2"/>
        <v>3041.58</v>
      </c>
    </row>
    <row r="71" spans="1:11" x14ac:dyDescent="0.25">
      <c r="A71" s="18" t="s">
        <v>187</v>
      </c>
      <c r="B71" s="18" t="s">
        <v>183</v>
      </c>
      <c r="C71" s="19" t="s">
        <v>188</v>
      </c>
      <c r="E71" s="18">
        <v>2123</v>
      </c>
      <c r="F71" s="18">
        <v>1052</v>
      </c>
      <c r="G71" s="18">
        <v>629</v>
      </c>
      <c r="H71" s="18">
        <v>1734</v>
      </c>
      <c r="I71" s="62">
        <f t="shared" si="0"/>
        <v>629</v>
      </c>
      <c r="J71" s="62" t="str">
        <f t="shared" si="1"/>
        <v>Birmingham, Alabama</v>
      </c>
      <c r="K71" s="45">
        <f t="shared" si="2"/>
        <v>1956.1899999999998</v>
      </c>
    </row>
    <row r="72" spans="1:11" x14ac:dyDescent="0.25">
      <c r="A72" s="18" t="s">
        <v>189</v>
      </c>
      <c r="B72" s="18" t="s">
        <v>190</v>
      </c>
      <c r="C72" s="19" t="s">
        <v>191</v>
      </c>
      <c r="E72" s="18">
        <v>2781</v>
      </c>
      <c r="F72" s="18">
        <v>811</v>
      </c>
      <c r="G72" s="18">
        <v>746</v>
      </c>
      <c r="H72" s="18">
        <v>2818</v>
      </c>
      <c r="I72" s="62">
        <f t="shared" si="0"/>
        <v>746</v>
      </c>
      <c r="J72" s="62" t="str">
        <f t="shared" si="1"/>
        <v>Birmingham, Alabama</v>
      </c>
      <c r="K72" s="45">
        <f t="shared" si="2"/>
        <v>2320.06</v>
      </c>
    </row>
    <row r="73" spans="1:11" x14ac:dyDescent="0.25">
      <c r="A73" s="18" t="s">
        <v>192</v>
      </c>
      <c r="B73" s="18" t="s">
        <v>190</v>
      </c>
      <c r="C73" s="19" t="s">
        <v>193</v>
      </c>
      <c r="E73" s="18">
        <v>2945</v>
      </c>
      <c r="F73" s="18">
        <v>974</v>
      </c>
      <c r="G73" s="18">
        <v>716</v>
      </c>
      <c r="H73" s="18">
        <v>2950</v>
      </c>
      <c r="I73" s="62">
        <f t="shared" ref="I73:I77" si="3">MIN(E73:H73)</f>
        <v>716</v>
      </c>
      <c r="J73" s="62" t="str">
        <f t="shared" ref="J73:J77" si="4">INDEX($E$4:$H$4,MATCH(I73,E73:H73,0))</f>
        <v>Birmingham, Alabama</v>
      </c>
      <c r="K73" s="45">
        <f t="shared" ref="K73:K77" si="5">IF(I73*$N$2&lt;$N$3,$N$3,I73*$N$2)</f>
        <v>2226.7599999999998</v>
      </c>
    </row>
    <row r="74" spans="1:11" x14ac:dyDescent="0.25">
      <c r="A74" s="18" t="s">
        <v>194</v>
      </c>
      <c r="B74" s="18" t="s">
        <v>195</v>
      </c>
      <c r="C74" s="19" t="s">
        <v>30</v>
      </c>
      <c r="E74" s="18">
        <v>0</v>
      </c>
      <c r="F74" s="18">
        <v>1995</v>
      </c>
      <c r="G74" s="18">
        <v>2525</v>
      </c>
      <c r="H74" s="18">
        <v>796</v>
      </c>
      <c r="I74" s="62">
        <f t="shared" si="3"/>
        <v>0</v>
      </c>
      <c r="J74" s="62" t="str">
        <f t="shared" si="4"/>
        <v>Seattle, Washington</v>
      </c>
      <c r="K74" s="45">
        <f t="shared" si="5"/>
        <v>75</v>
      </c>
    </row>
    <row r="75" spans="1:11" x14ac:dyDescent="0.25">
      <c r="A75" s="18" t="s">
        <v>196</v>
      </c>
      <c r="B75" s="18" t="s">
        <v>195</v>
      </c>
      <c r="C75" s="19" t="s">
        <v>197</v>
      </c>
      <c r="E75" s="18">
        <v>282</v>
      </c>
      <c r="F75" s="18">
        <v>1714</v>
      </c>
      <c r="G75" s="18">
        <v>2244</v>
      </c>
      <c r="H75" s="18">
        <v>864</v>
      </c>
      <c r="I75" s="62">
        <f t="shared" si="3"/>
        <v>282</v>
      </c>
      <c r="J75" s="62" t="str">
        <f t="shared" si="4"/>
        <v>Seattle, Washington</v>
      </c>
      <c r="K75" s="45">
        <f t="shared" si="5"/>
        <v>877.02</v>
      </c>
    </row>
    <row r="76" spans="1:11" x14ac:dyDescent="0.25">
      <c r="A76" s="18" t="s">
        <v>198</v>
      </c>
      <c r="B76" s="18" t="s">
        <v>199</v>
      </c>
      <c r="C76" s="19" t="s">
        <v>200</v>
      </c>
      <c r="E76" s="18">
        <v>1934</v>
      </c>
      <c r="F76" s="18">
        <v>121</v>
      </c>
      <c r="G76" s="18">
        <v>878</v>
      </c>
      <c r="H76" s="18">
        <v>2224</v>
      </c>
      <c r="I76" s="62">
        <f t="shared" si="3"/>
        <v>121</v>
      </c>
      <c r="J76" s="62" t="str">
        <f t="shared" si="4"/>
        <v>Milwaukee, Wisconsin</v>
      </c>
      <c r="K76" s="45">
        <f t="shared" si="5"/>
        <v>376.31</v>
      </c>
    </row>
    <row r="77" spans="1:11" x14ac:dyDescent="0.25">
      <c r="A77" s="18" t="s">
        <v>201</v>
      </c>
      <c r="B77" s="18" t="s">
        <v>199</v>
      </c>
      <c r="C77" s="19" t="s">
        <v>202</v>
      </c>
      <c r="E77" s="18">
        <v>1927</v>
      </c>
      <c r="F77" s="18">
        <v>74</v>
      </c>
      <c r="G77" s="18">
        <v>811</v>
      </c>
      <c r="H77" s="18">
        <v>2091</v>
      </c>
      <c r="I77" s="62">
        <f t="shared" si="3"/>
        <v>74</v>
      </c>
      <c r="J77" s="62" t="str">
        <f t="shared" si="4"/>
        <v>Milwaukee, Wisconsin</v>
      </c>
      <c r="K77" s="45">
        <f t="shared" si="5"/>
        <v>230.14</v>
      </c>
    </row>
  </sheetData>
  <printOptions horizontalCentered="1"/>
  <pageMargins left="0.4" right="0.4" top="0.4" bottom="0.75" header="0.3" footer="0.3"/>
  <pageSetup scale="52" orientation="landscape" r:id="rId1"/>
  <headerFooter>
    <oddFooter>&amp;L&amp;A&amp;RPage &amp;P of &amp;N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4</vt:i4>
      </vt:variant>
    </vt:vector>
  </HeadingPairs>
  <TitlesOfParts>
    <vt:vector size="13" baseType="lpstr">
      <vt:lpstr>Topics</vt:lpstr>
      <vt:lpstr>Spreadsheet Models</vt:lpstr>
      <vt:lpstr>FC VC Analysis</vt:lpstr>
      <vt:lpstr>Quad FC VC Profit</vt:lpstr>
      <vt:lpstr>Goal Seek</vt:lpstr>
      <vt:lpstr>1 V Data Table</vt:lpstr>
      <vt:lpstr>2 V Data Table</vt:lpstr>
      <vt:lpstr>Calcualte Revenue</vt:lpstr>
      <vt:lpstr>Shipping Costs</vt:lpstr>
      <vt:lpstr>'1 V Data Table'!Print_Area</vt:lpstr>
      <vt:lpstr>'2 V Data Table'!Print_Area</vt:lpstr>
      <vt:lpstr>'Calcualte Revenue'!Print_Area</vt:lpstr>
      <vt:lpstr>'Shipping Costs'!Print_Area</vt:lpstr>
    </vt:vector>
  </TitlesOfParts>
  <Company>Highline Community College</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Girvin, Michael</dc:creator>
  <cp:lastModifiedBy>Girvin, Michael</cp:lastModifiedBy>
  <cp:lastPrinted>2015-09-30T18:52:42Z</cp:lastPrinted>
  <dcterms:created xsi:type="dcterms:W3CDTF">2015-09-15T21:47:37Z</dcterms:created>
  <dcterms:modified xsi:type="dcterms:W3CDTF">2015-09-30T20:38:06Z</dcterms:modified>
</cp:coreProperties>
</file>